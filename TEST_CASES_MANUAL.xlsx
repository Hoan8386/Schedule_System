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NGU\schedule_system\"/>
    </mc:Choice>
  </mc:AlternateContent>
  <xr:revisionPtr revIDLastSave="0" documentId="13_ncr:1_{563EDE57-B7C9-4D42-94D0-DB0E5B7E2827}" xr6:coauthVersionLast="47" xr6:coauthVersionMax="47" xr10:uidLastSave="{00000000-0000-0000-0000-000000000000}"/>
  <bookViews>
    <workbookView xWindow="-108" yWindow="-108" windowWidth="23256" windowHeight="13896" firstSheet="4" activeTab="5" xr2:uid="{00000000-000D-0000-FFFF-FFFF00000000}"/>
  </bookViews>
  <sheets>
    <sheet name="Hướng dẫn" sheetId="1" r:id="rId1"/>
    <sheet name="Tổng hợp" sheetId="2" r:id="rId2"/>
    <sheet name="Chung - Xác thực" sheetId="3" r:id="rId3"/>
    <sheet name="Chung - Thông báo" sheetId="4" r:id="rId4"/>
    <sheet name="Chung - Phản hồi" sheetId="5" r:id="rId5"/>
    <sheet name="Nhân viên" sheetId="6" r:id="rId6"/>
    <sheet name="Trưởng cửa hàng" sheetId="7" r:id="rId7"/>
    <sheet name="Quản lý" sheetId="8" r:id="rId8"/>
    <sheet name="Admin" sheetId="9" r:id="rId9"/>
    <sheet name="Phân quyền &amp; Bảo mật" sheetId="10" r:id="rId10"/>
  </sheets>
  <definedNames>
    <definedName name="_xlnm._FilterDatabase" localSheetId="8" hidden="1">Admin!$A$1:$O$20</definedName>
    <definedName name="_xlnm._FilterDatabase" localSheetId="4" hidden="1">'Chung - Phản hồi'!$A$1:$O$31</definedName>
    <definedName name="_xlnm._FilterDatabase" localSheetId="3" hidden="1">'Chung - Thông báo'!$A$1:$O$9</definedName>
    <definedName name="_xlnm._FilterDatabase" localSheetId="2" hidden="1">'Chung - Xác thực'!$A$1:$O$31</definedName>
    <definedName name="_xlnm._FilterDatabase" localSheetId="5" hidden="1">'Nhân viên'!$A$1:$O$51</definedName>
    <definedName name="_xlnm._FilterDatabase" localSheetId="9" hidden="1">'Phân quyền &amp; Bảo mật'!$A$1:$O$14</definedName>
    <definedName name="_xlnm._FilterDatabase" localSheetId="7" hidden="1">'Quản lý'!$A$1:$O$53</definedName>
    <definedName name="_xlnm._FilterDatabase" localSheetId="6" hidden="1">'Trưởng cửa hàng'!$A$1:$O$34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J11" i="2"/>
  <c r="I11" i="2"/>
  <c r="F11" i="2"/>
  <c r="E11" i="2"/>
  <c r="D11" i="2"/>
  <c r="C11" i="2"/>
  <c r="H11" i="2" s="1"/>
  <c r="B11" i="2"/>
  <c r="G11" i="2" s="1"/>
  <c r="J10" i="2"/>
  <c r="I10" i="2"/>
  <c r="F10" i="2"/>
  <c r="E10" i="2"/>
  <c r="D10" i="2"/>
  <c r="C10" i="2"/>
  <c r="H10" i="2" s="1"/>
  <c r="B10" i="2"/>
  <c r="G10" i="2" s="1"/>
  <c r="J9" i="2"/>
  <c r="I9" i="2"/>
  <c r="F9" i="2"/>
  <c r="E9" i="2"/>
  <c r="D9" i="2"/>
  <c r="C9" i="2"/>
  <c r="H9" i="2" s="1"/>
  <c r="B9" i="2"/>
  <c r="G9" i="2" s="1"/>
  <c r="J8" i="2"/>
  <c r="I8" i="2"/>
  <c r="F8" i="2"/>
  <c r="E8" i="2"/>
  <c r="D8" i="2"/>
  <c r="C8" i="2"/>
  <c r="H8" i="2" s="1"/>
  <c r="B8" i="2"/>
  <c r="G8" i="2" s="1"/>
  <c r="J7" i="2"/>
  <c r="I7" i="2"/>
  <c r="F7" i="2"/>
  <c r="E7" i="2"/>
  <c r="D7" i="2"/>
  <c r="C7" i="2"/>
  <c r="H7" i="2" s="1"/>
  <c r="B7" i="2"/>
  <c r="G7" i="2" s="1"/>
  <c r="J6" i="2"/>
  <c r="I6" i="2"/>
  <c r="F6" i="2"/>
  <c r="E6" i="2"/>
  <c r="D6" i="2"/>
  <c r="C6" i="2"/>
  <c r="H6" i="2" s="1"/>
  <c r="B6" i="2"/>
  <c r="G6" i="2" s="1"/>
  <c r="J5" i="2"/>
  <c r="I5" i="2"/>
  <c r="F5" i="2"/>
  <c r="E5" i="2"/>
  <c r="D5" i="2"/>
  <c r="C5" i="2"/>
  <c r="H5" i="2" s="1"/>
  <c r="B5" i="2"/>
  <c r="G5" i="2" s="1"/>
  <c r="J4" i="2"/>
  <c r="J12" i="2" s="1"/>
  <c r="I4" i="2"/>
  <c r="I12" i="2" s="1"/>
  <c r="F4" i="2"/>
  <c r="F12" i="2" s="1"/>
  <c r="E4" i="2"/>
  <c r="E12" i="2" s="1"/>
  <c r="D4" i="2"/>
  <c r="D12" i="2" s="1"/>
  <c r="C4" i="2"/>
  <c r="B4" i="2"/>
  <c r="C12" i="2" l="1"/>
  <c r="H4" i="2"/>
  <c r="B12" i="2"/>
  <c r="G12" i="2" s="1"/>
  <c r="H12" i="2" l="1"/>
</calcChain>
</file>

<file path=xl/sharedStrings.xml><?xml version="1.0" encoding="utf-8"?>
<sst xmlns="http://schemas.openxmlformats.org/spreadsheetml/2006/main" count="2772" uniqueCount="1244">
  <si>
    <t>BỘ TEST CASE KIỂM THỬ THỦ CÔNG</t>
  </si>
  <si>
    <t>Dự án</t>
  </si>
  <si>
    <t>Hệ thống xếp lịch làm việc chuỗi cửa hàng (schedule_backend + schedule_frontend)</t>
  </si>
  <si>
    <t>Ngày lập</t>
  </si>
  <si>
    <t>22/10/2026 – dựa trên CHECKLIST_CAP_NHAT.md (19–20/10/2026), hotahethong.md và thông báo lỗi trong backend</t>
  </si>
  <si>
    <t>CÁCH DÙNG</t>
  </si>
  <si>
    <t>Ô cần điền</t>
  </si>
  <si>
    <t>Các cột nền vàng: Kết quả thực tế · Trạng thái · Người test · Ngày test · Bug ID / Ghi chú</t>
  </si>
  <si>
    <t>Trạng thái</t>
  </si>
  <si>
    <t>Chọn từ danh sách: Not Run (mặc định) · Pass · Fail · Blocked. Sheet 'Tổng hợp' tự đếm.</t>
  </si>
  <si>
    <t>Ví dụ điền 1 dòng</t>
  </si>
  <si>
    <t>Kết quả thực tế: 'Hiện toast Sai tài khoản hoặc mật khẩu' · Trạng thái: Pass · Người test: Hoàn · Ngày test: 22/10/2026 · Bug ID: (trống)</t>
  </si>
  <si>
    <t>Khi Fail</t>
  </si>
  <si>
    <t>Ghi rõ kết quả thực tế, chụp màn hình, ghi Bug ID ở cột cuối</t>
  </si>
  <si>
    <t>Ưu tiên</t>
  </si>
  <si>
    <t>Cao: nghiệp vụ chính / phân quyền – chạy trước · Trung bình · Thấp: hiển thị, tiện ích</t>
  </si>
  <si>
    <t>Loại</t>
  </si>
  <si>
    <t>Positive: luồng đúng · Negative: dữ liệu / thao tác sai · Boundary: giá trị biên (min/max, thời điểm, độ dài)</t>
  </si>
  <si>
    <t>'(qua API)'</t>
  </si>
  <si>
    <t>UI đã chặn sẵn; kiểm tra backend bằng Postman (thư mục schedule_backend/postman) với token của vai trò tương ứng</t>
  </si>
  <si>
    <t>CHUẨN BỊ DỮ LIỆU</t>
  </si>
  <si>
    <t>Tài khoản</t>
  </si>
  <si>
    <t>1 Admin · 2 Quản lý (để test 'quản lý cuối cùng') · 2 TCH ở 2 cửa hàng A, B · ≥3 NV cửa hàng A cùng nhóm ca · 1 NV cửa hàng B</t>
  </si>
  <si>
    <t>Lịch</t>
  </si>
  <si>
    <t>1 kỳ đã chốt (đang dùng) có ca trong tương lai · 1 kỳ OPEN đang trong thời gian đăng ký · ca mẫu có min &lt; max</t>
  </si>
  <si>
    <t>Migration</t>
  </si>
  <si>
    <t>Khởi động lại backend; chạy migration_store_account.sql, migration_quan_ly_ca.sql, migration_feedback.sql, migration_urgent_swap.sql</t>
  </si>
  <si>
    <t>Dữ liệu mẫu</t>
  </si>
  <si>
    <t>Có thể dùng fake_20_nhan_vien_thang11.sql / fake_schedule_thang11.sql</t>
  </si>
  <si>
    <t>DANH SÁCH SHEET</t>
  </si>
  <si>
    <t>Chung - Xác thực</t>
  </si>
  <si>
    <t>30 test case – mã AUTH-xxx</t>
  </si>
  <si>
    <t>Chung - Thông báo</t>
  </si>
  <si>
    <t>8 test case – mã NOTI-xxx</t>
  </si>
  <si>
    <t>Chung - Phản hồi</t>
  </si>
  <si>
    <t>30 test case – mã FB-xxx</t>
  </si>
  <si>
    <t>Nhân viên</t>
  </si>
  <si>
    <t>50 test case – mã NV-xxx</t>
  </si>
  <si>
    <t>Trưởng cửa hàng</t>
  </si>
  <si>
    <t>33 test case – mã TCH-xxx</t>
  </si>
  <si>
    <t>Quản lý</t>
  </si>
  <si>
    <t>52 test case – mã QL-xxx</t>
  </si>
  <si>
    <t>Admin</t>
  </si>
  <si>
    <t>19 test case – mã AD-xxx</t>
  </si>
  <si>
    <t>Phân quyền &amp; Bảo mật</t>
  </si>
  <si>
    <t>13 test case – mã SEC-xxx</t>
  </si>
  <si>
    <t>TỔNG HỢP KẾT QUẢ TEST – HỆ THỐNG XẾP LỊCH LÀM VIỆC</t>
  </si>
  <si>
    <t>Sheet / Module</t>
  </si>
  <si>
    <t>Tổng TC</t>
  </si>
  <si>
    <t>Pass</t>
  </si>
  <si>
    <t>Fail</t>
  </si>
  <si>
    <t>Blocked</t>
  </si>
  <si>
    <t>Not Run</t>
  </si>
  <si>
    <t>% Đã chạy</t>
  </si>
  <si>
    <t>% Pass (trên đã chạy)</t>
  </si>
  <si>
    <t>TC ưu tiên Cao</t>
  </si>
  <si>
    <t>Cao bị Fail</t>
  </si>
  <si>
    <t>TỔNG CỘNG</t>
  </si>
  <si>
    <t>Bảng tự động cập nhật khi đổi cột 'Trạng thái' ở các sheet test case.</t>
  </si>
  <si>
    <t>Mã TC</t>
  </si>
  <si>
    <t>Module</t>
  </si>
  <si>
    <t>Chức năng</t>
  </si>
  <si>
    <t>Tiêu đề test case</t>
  </si>
  <si>
    <t>Điều kiện tiên quyết</t>
  </si>
  <si>
    <t>Các bước thực hiện</t>
  </si>
  <si>
    <t>Dữ liệu test</t>
  </si>
  <si>
    <t>Kết quả mong đợi</t>
  </si>
  <si>
    <t>Kết quả thực tế</t>
  </si>
  <si>
    <t>Người test</t>
  </si>
  <si>
    <t>Ngày test</t>
  </si>
  <si>
    <t>Bug ID / Ghi chú</t>
  </si>
  <si>
    <t>AUTH-001</t>
  </si>
  <si>
    <t>Đăng nhập</t>
  </si>
  <si>
    <t>Đăng nhập thành công bằng tên đăng nhập</t>
  </si>
  <si>
    <t>Tài khoản NV đang hoạt động</t>
  </si>
  <si>
    <t>1. Mở trang đăng nhập
2. Nhập tên đăng nhập + mật khẩu đúng
3. Bấm Đăng nhập</t>
  </si>
  <si>
    <t>username: nv01 / pass: Abc@1234</t>
  </si>
  <si>
    <t>Toast 'Đăng nhập thành công'; chuyển vào giao diện Nhân viên (Tổng quan)</t>
  </si>
  <si>
    <t>Cao</t>
  </si>
  <si>
    <t>Positive</t>
  </si>
  <si>
    <t>AUTH-002</t>
  </si>
  <si>
    <t>Đăng nhập thành công bằng email</t>
  </si>
  <si>
    <t>Tài khoản đang hoạt động</t>
  </si>
  <si>
    <t>1. Nhập email thay cho tên đăng nhập
2. Nhập mật khẩu đúng
3. Bấm Đăng nhập</t>
  </si>
  <si>
    <t>email: nv01@gmail.com</t>
  </si>
  <si>
    <t>Đăng nhập thành công</t>
  </si>
  <si>
    <t>AUTH-003</t>
  </si>
  <si>
    <t>Điều hướng theo vai trò</t>
  </si>
  <si>
    <t>Mỗi vai trò vào đúng giao diện</t>
  </si>
  <si>
    <t>Có 4 tài khoản: Admin, Quản lý, Trưởng cửa hàng, Nhân viên</t>
  </si>
  <si>
    <t>1. Lần lượt đăng nhập từng tài khoản
2. Quan sát menu bên trái</t>
  </si>
  <si>
    <t>4 tài khoản theo vai trò</t>
  </si>
  <si>
    <t>Admin: menu Quản trị hệ thống; Quản lý: Vận hành chuỗi; TCH: Quản lý ca, Quản lý nhân sự...; NV: Lịch làm việc, Đăng ký ca...</t>
  </si>
  <si>
    <t>AUTH-004</t>
  </si>
  <si>
    <t>Sai mật khẩu</t>
  </si>
  <si>
    <t>Tài khoản tồn tại</t>
  </si>
  <si>
    <t>1. Nhập tên đăng nhập đúng
2. Nhập mật khẩu sai
3. Bấm Đăng nhập</t>
  </si>
  <si>
    <t>pass: sai123</t>
  </si>
  <si>
    <t>Toast lỗi 401 'Sai tài khoản hoặc mật khẩu'; hiện gợi ý kiểm tra lại / Quên mật khẩu; không vào hệ thống</t>
  </si>
  <si>
    <t>Negative</t>
  </si>
  <si>
    <t>AUTH-005</t>
  </si>
  <si>
    <t>Tên đăng nhập không tồn tại</t>
  </si>
  <si>
    <t>-</t>
  </si>
  <si>
    <t>1. Nhập tên đăng nhập không có trong hệ thống
2. Nhập mật khẩu bất kỳ
3. Bấm Đăng nhập</t>
  </si>
  <si>
    <t>username: khongtontai</t>
  </si>
  <si>
    <t>Báo lỗi đăng nhập, không vào hệ thống</t>
  </si>
  <si>
    <t>Trung bình</t>
  </si>
  <si>
    <t>AUTH-006</t>
  </si>
  <si>
    <t>Nút Đăng nhập bị vô hiệu khi để trống</t>
  </si>
  <si>
    <t>1. Để trống tên đăng nhập và/hoặc mật khẩu
2. Quan sát nút Đăng nhập</t>
  </si>
  <si>
    <t>Trống / chỉ khoảng trắng</t>
  </si>
  <si>
    <t>Nút Đăng nhập bị disable khi thiếu 1 trong 2 trường (chuỗi chỉ có khoảng trắng coi như trống)</t>
  </si>
  <si>
    <t>Boundary</t>
  </si>
  <si>
    <t>AUTH-007</t>
  </si>
  <si>
    <t>Tài khoản bị khóa</t>
  </si>
  <si>
    <t>Tài khoản đã bị Admin khóa</t>
  </si>
  <si>
    <t>1. Nhập đúng thông tin tài khoản bị khóa
2. Bấm Đăng nhập</t>
  </si>
  <si>
    <t>Lỗi 403 'Tài khoản chưa được kích hoạt hoặc đã bị khóa'</t>
  </si>
  <si>
    <t>AUTH-008</t>
  </si>
  <si>
    <t>Tài khoản chưa kích hoạt</t>
  </si>
  <si>
    <t>Vừa đăng ký nhưng chưa xác nhận</t>
  </si>
  <si>
    <t>1. Đăng nhập bằng tài khoản chưa kích hoạt</t>
  </si>
  <si>
    <t>AUTH-009</t>
  </si>
  <si>
    <t>Ẩn / hiện mật khẩu</t>
  </si>
  <si>
    <t>1. Nhập mật khẩu
2. Bấm biểu tượng con mắt 2 lần</t>
  </si>
  <si>
    <t>Lần 1 hiện ký tự thật, lần 2 ẩn lại thành dấu chấm</t>
  </si>
  <si>
    <t>Thấp</t>
  </si>
  <si>
    <t>AUTH-010</t>
  </si>
  <si>
    <t>Máy chủ không phản hồi</t>
  </si>
  <si>
    <t>Tắt backend</t>
  </si>
  <si>
    <t>1. Nhập thông tin đăng nhập
2. Bấm Đăng nhập</t>
  </si>
  <si>
    <t>Thông báo 'Không thể kết nối đến máy chủ. Vui lòng thử lại sau.'</t>
  </si>
  <si>
    <t>AUTH-011</t>
  </si>
  <si>
    <t>Đăng ký</t>
  </si>
  <si>
    <t>Đăng ký tài khoản</t>
  </si>
  <si>
    <t>Đăng ký thành công</t>
  </si>
  <si>
    <t>1. Mở tab Đăng ký
2. Nhập đầy đủ trường hợp lệ
3. Bấm Đăng ký tài khoản</t>
  </si>
  <si>
    <t>username: test_nv01, email hợp lệ, pass: Abc@1234 x2</t>
  </si>
  <si>
    <t>Toast 'Đăng ký thành công, vui lòng xác nhận tài khoản'; hiện màn hình xác nhận</t>
  </si>
  <si>
    <t>AUTH-012</t>
  </si>
  <si>
    <t>Kích hoạt tài khoản</t>
  </si>
  <si>
    <t>Xác nhận tài khoản sau đăng ký</t>
  </si>
  <si>
    <t>Vừa đăng ký thành công</t>
  </si>
  <si>
    <t>1. Thực hiện bước xác nhận tài khoản
2. Đăng nhập bằng tài khoản vừa tạo</t>
  </si>
  <si>
    <t>Toast 'Xác nhận tài khoản thành công'; đăng nhập được</t>
  </si>
  <si>
    <t>AUTH-013</t>
  </si>
  <si>
    <t>Validate</t>
  </si>
  <si>
    <t>Tên đăng nhập dưới 3 ký tự</t>
  </si>
  <si>
    <t>1. Nhập tên đăng nhập 2 ký tự
2. Nhập các trường khác hợp lệ</t>
  </si>
  <si>
    <t>username: ab</t>
  </si>
  <si>
    <t>Hiện gợi ý 'Tên đăng nhập cần tối thiểu 3 ký tự'; không gửi được</t>
  </si>
  <si>
    <t>AUTH-014</t>
  </si>
  <si>
    <t>Tên đăng nhập đúng 3 ký tự</t>
  </si>
  <si>
    <t>1. Nhập tên đăng nhập 3 ký tự
2. Nhập các trường khác hợp lệ
3. Gửi</t>
  </si>
  <si>
    <t>username: abc</t>
  </si>
  <si>
    <t>Được chấp nhận</t>
  </si>
  <si>
    <t>AUTH-015</t>
  </si>
  <si>
    <t>Email sai định dạng</t>
  </si>
  <si>
    <t>1. Nhập email sai định dạng</t>
  </si>
  <si>
    <t>abc@, abc.com, @gmail.com</t>
  </si>
  <si>
    <t>Trường email báo lỗi; không gửi được</t>
  </si>
  <si>
    <t>AUTH-016</t>
  </si>
  <si>
    <t>Mật khẩu 7 ký tự</t>
  </si>
  <si>
    <t>1. Nhập mật khẩu 7 ký tự</t>
  </si>
  <si>
    <t>Abc@123</t>
  </si>
  <si>
    <t>Không hợp lệ (yêu cầu tối thiểu 8 ký tự)</t>
  </si>
  <si>
    <t>AUTH-017</t>
  </si>
  <si>
    <t>Mật khẩu 8 ký tự</t>
  </si>
  <si>
    <t>1. Nhập mật khẩu 8 ký tự + xác nhận khớp
2. Gửi</t>
  </si>
  <si>
    <t>Abc@1234</t>
  </si>
  <si>
    <t>Hợp lệ</t>
  </si>
  <si>
    <t>AUTH-018</t>
  </si>
  <si>
    <t>Xác nhận mật khẩu không khớp</t>
  </si>
  <si>
    <t>1. Nhập mật khẩu và xác nhận khác nhau</t>
  </si>
  <si>
    <t>Abc@1234 / Abc@12345</t>
  </si>
  <si>
    <t>Hiện 'Mật khẩu xác nhận chưa khớp'; nếu gửi qua API trả 'Mật khẩu xác nhận không khớp'</t>
  </si>
  <si>
    <t>AUTH-019</t>
  </si>
  <si>
    <t>Chỉ báo độ mạnh mật khẩu</t>
  </si>
  <si>
    <t>1. Lần lượt nhập: 'abcdefgh', 'Abcdefg1', 'Abc@1234'</t>
  </si>
  <si>
    <t>Hiển thị lần lượt: Mật khẩu yếu → Mật khẩu khá → Mật khẩu mạnh</t>
  </si>
  <si>
    <t>AUTH-020</t>
  </si>
  <si>
    <t>Trùng dữ liệu</t>
  </si>
  <si>
    <t>Tên đăng nhập đã tồn tại</t>
  </si>
  <si>
    <t>Đã có user nv01</t>
  </si>
  <si>
    <t>1. Đăng ký với username nv01</t>
  </si>
  <si>
    <t>Lỗi 409 'Username đã tồn tại'</t>
  </si>
  <si>
    <t>AUTH-021</t>
  </si>
  <si>
    <t>Email đã tồn tại</t>
  </si>
  <si>
    <t>1. Đăng ký với email đã dùng</t>
  </si>
  <si>
    <t>Lỗi 409 'Email đã tồn tại'</t>
  </si>
  <si>
    <t>AUTH-022</t>
  </si>
  <si>
    <t>Số điện thoại đã tồn tại</t>
  </si>
  <si>
    <t>1. Đăng ký với SĐT đã dùng (nếu form có trường SĐT)</t>
  </si>
  <si>
    <t>Lỗi 409 'Số điện thoại đã tồn tại'</t>
  </si>
  <si>
    <t>AUTH-023</t>
  </si>
  <si>
    <t>Quên mật khẩu</t>
  </si>
  <si>
    <t>Yêu cầu đặt lại</t>
  </si>
  <si>
    <t>Gửi yêu cầu với email tồn tại</t>
  </si>
  <si>
    <t>1. Bấm Quên mật khẩu
2. Nhập email đã đăng ký
3. Gửi</t>
  </si>
  <si>
    <t>Toast 'Đã tạo yêu cầu đặt lại mật khẩu'; chuyển sang bước nhập token</t>
  </si>
  <si>
    <t>AUTH-024</t>
  </si>
  <si>
    <t>Email không tồn tại</t>
  </si>
  <si>
    <t>1. Nhập email chưa đăng ký
2. Gửi</t>
  </si>
  <si>
    <t>x@none.com</t>
  </si>
  <si>
    <t>Lỗi 'Không tìm thấy tài khoản với email này'</t>
  </si>
  <si>
    <t>AUTH-025</t>
  </si>
  <si>
    <t>Đặt lại mật khẩu</t>
  </si>
  <si>
    <t>Đặt lại với token hợp lệ</t>
  </si>
  <si>
    <t>Đã có token</t>
  </si>
  <si>
    <t>1. Dán token
2. Nhập mật khẩu mới + xác nhận
3. Gửi
4. Đăng nhập bằng mật khẩu mới</t>
  </si>
  <si>
    <t>Toast 'Đặt lại mật khẩu thành công'; đăng nhập được bằng mật khẩu mới, mật khẩu cũ không dùng được</t>
  </si>
  <si>
    <t>AUTH-026</t>
  </si>
  <si>
    <t>Token sai</t>
  </si>
  <si>
    <t>1. Nhập token sai
2. Nhập mật khẩu hợp lệ
3. Gửi</t>
  </si>
  <si>
    <t>token: abc</t>
  </si>
  <si>
    <t>Báo lỗi, mật khẩu không đổi</t>
  </si>
  <si>
    <t>AUTH-027</t>
  </si>
  <si>
    <t>Nút gửi bị vô hiệu khi dữ liệu chưa hợp lệ</t>
  </si>
  <si>
    <t>1. Để trống token, hoặc mật khẩu &lt; 8 ký tự, hoặc xác nhận không khớp</t>
  </si>
  <si>
    <t>Nút gửi bị disable ở cả 3 trường hợp</t>
  </si>
  <si>
    <t>AUTH-028</t>
  </si>
  <si>
    <t>Phiên làm việc</t>
  </si>
  <si>
    <t>Đăng xuất</t>
  </si>
  <si>
    <t>Đang đăng nhập</t>
  </si>
  <si>
    <t>1. Mở menu người dùng
2. Bấm Đăng xuất
3. Bấm Back trên trình duyệt</t>
  </si>
  <si>
    <t>Về trang đăng nhập; không quay lại được trang nội bộ khi bấm Back</t>
  </si>
  <si>
    <t>AUTH-029</t>
  </si>
  <si>
    <t>Token</t>
  </si>
  <si>
    <t>Token hết hạn / bị sửa</t>
  </si>
  <si>
    <t>1. Sửa / xóa token trong Local Storage
2. Thao tác bất kỳ</t>
  </si>
  <si>
    <t>API trả 401 'Token không hợp lệ...'; ứng dụng đưa về trang đăng nhập (hoặc tự làm mới token nếu refresh token còn hạn)</t>
  </si>
  <si>
    <t>AUTH-030</t>
  </si>
  <si>
    <t>Khóa giữa phiên</t>
  </si>
  <si>
    <t>Tài khoản bị khóa khi đang dùng</t>
  </si>
  <si>
    <t>NV đang đăng nhập</t>
  </si>
  <si>
    <t>1. Admin khóa tài khoản NV
2. NV thao tác tiếp</t>
  </si>
  <si>
    <t>API trả lỗi 'Tài khoản hiện tại đã bị vô hiệu hóa.'; NV bị đăng xuất</t>
  </si>
  <si>
    <t>NOTI-001</t>
  </si>
  <si>
    <t>Chuông thông báo</t>
  </si>
  <si>
    <t>Việc cần xử lý</t>
  </si>
  <si>
    <t>Hiển thị mục 'Việc cần xử lý &amp; cần quan tâm'</t>
  </si>
  <si>
    <t>Đăng nhập bất kỳ vai trò</t>
  </si>
  <si>
    <t>1. Bấm vào chuông trên thanh trên</t>
  </si>
  <si>
    <t>Hiện mục 'Việc cần xử lý &amp; cần quan tâm'; chấm cam = số việc cần xử lý</t>
  </si>
  <si>
    <t>NOTI-002</t>
  </si>
  <si>
    <t>Quản lý / TCH</t>
  </si>
  <si>
    <t>Đếm đúng việc chờ xử lý</t>
  </si>
  <si>
    <t>Có đăng ký ca chờ duyệt, đặt lịch khẩn chờ duyệt, ca thiếu người 7 ngày tới, phản hồi chờ</t>
  </si>
  <si>
    <t>1. Đăng nhập Quản lý
2. Mở chuông
3. Đối chiếu số lượng với dữ liệu thực tế
4. Bấm từng mục</t>
  </si>
  <si>
    <t>Các mục hiển thị đúng số lượng; bấm vào mở đúng trang tương ứng</t>
  </si>
  <si>
    <t>NOTI-003</t>
  </si>
  <si>
    <t>TCH</t>
  </si>
  <si>
    <t>Có mục todo chưa xong</t>
  </si>
  <si>
    <t>TCH có todo chưa hoàn thành</t>
  </si>
  <si>
    <t>1. Đăng nhập TCH
2. Mở chuông</t>
  </si>
  <si>
    <t>Có thêm mục Todo chưa xong (chỉ với TCH)</t>
  </si>
  <si>
    <t>NOTI-004</t>
  </si>
  <si>
    <t>Admin thấy phản hồi chờ xử lý</t>
  </si>
  <si>
    <t>Có phản hồi Hệ thống PENDING</t>
  </si>
  <si>
    <t>1. Đăng nhập Admin
2. Mở chuông</t>
  </si>
  <si>
    <t>Có mục phản hồi chờ xử lý</t>
  </si>
  <si>
    <t>NOTI-005</t>
  </si>
  <si>
    <t>NV thấy ca ngày mai, kỳ đang mở, yêu cầu vừa xử lý, phản hồi có cập nhật</t>
  </si>
  <si>
    <t>NV có ca đã duyệt ngày mai; có kỳ đang mở đăng ký; có yêu cầu vừa được duyệt</t>
  </si>
  <si>
    <t>1. Đăng nhập NV
2. Mở chuông</t>
  </si>
  <si>
    <t>Hiện 'Bạn có ca đã được duyệt vào ngày mai', mục kỳ đang mở đăng ký, yêu cầu vừa được xử lý</t>
  </si>
  <si>
    <t>NOTI-006</t>
  </si>
  <si>
    <t>Thông báo</t>
  </si>
  <si>
    <t>Đánh dấu đã đọc</t>
  </si>
  <si>
    <t>Đánh dấu 1 thông báo đã đọc</t>
  </si>
  <si>
    <t>Có thông báo chưa đọc</t>
  </si>
  <si>
    <t>1. Mở chuông
2. Bấm 'Đánh dấu đã đọc' trên 1 thông báo</t>
  </si>
  <si>
    <t>Thông báo chuyển sang đã đọc; số đếm giảm 1</t>
  </si>
  <si>
    <t>NOTI-007</t>
  </si>
  <si>
    <t>Đánh dấu tất cả đã đọc</t>
  </si>
  <si>
    <t>Có nhiều thông báo chưa đọc</t>
  </si>
  <si>
    <t>1. Bấm 'Đánh dấu tất cả đã đọc'</t>
  </si>
  <si>
    <t>Tất cả thông báo đã đọc; số đếm về 0</t>
  </si>
  <si>
    <t>NOTI-008</t>
  </si>
  <si>
    <t>Phát thông báo</t>
  </si>
  <si>
    <t>Nhận thông báo do Quản lý phát</t>
  </si>
  <si>
    <t>Quản lý vừa phát thông báo cho cửa hàng của NV</t>
  </si>
  <si>
    <t>Thấy thông báo đúng tiêu đề, nội dung, mức độ ưu tiên</t>
  </si>
  <si>
    <t>FB-001</t>
  </si>
  <si>
    <t>Gửi phản hồi</t>
  </si>
  <si>
    <t>Loại phản hồi</t>
  </si>
  <si>
    <t>Chỉ có 3 loại, có chú thích khi hover</t>
  </si>
  <si>
    <t>Đăng nhập NV</t>
  </si>
  <si>
    <t>1. Mở Feedback
2. Bấm Gửi phản hồi
3. Rê chuột lên từng loại</t>
  </si>
  <si>
    <t>Chỉ có Ca làm / Đồng nghiệp / Hệ thống. Tooltip: 'Góp ý hay báo cáo vấn đề của ca làm' · 'Nhận xét về đồng nghiệp' · 'Báo cáo tình trạng hệ thống...'</t>
  </si>
  <si>
    <t>FB-002</t>
  </si>
  <si>
    <t>Ca làm</t>
  </si>
  <si>
    <t>Gửi phản hồi ca làm hợp lệ</t>
  </si>
  <si>
    <t>NV có ca đã duyệt và đang trong giờ làm</t>
  </si>
  <si>
    <t>1. Chọn loại Ca làm
2. Chọn ca hiện tại
3. Nhập nội dung
4. Gửi</t>
  </si>
  <si>
    <t>Toast 'Đã gửi phản hồi'; trạng thái PENDING</t>
  </si>
  <si>
    <t>FB-003</t>
  </si>
  <si>
    <t>Không chọn ca</t>
  </si>
  <si>
    <t>1. Chọn loại Ca làm
2. Không chọn ca
3. Gửi</t>
  </si>
  <si>
    <t>Báo lỗi 'Phản hồi loại Ca làm phải chọn ca cụ thể'</t>
  </si>
  <si>
    <t>FB-004</t>
  </si>
  <si>
    <t>Ca ngoài giờ diễn ra</t>
  </si>
  <si>
    <t>NV có ca đã duyệt nhưng chưa tới giờ / đã kết thúc</t>
  </si>
  <si>
    <t>1. Chọn loại Ca làm
2. Chọn ca đó
3. Gửi</t>
  </si>
  <si>
    <t>Ca không được liệt kê hoặc báo 'Chỉ phản hồi được ca làm trong thời gian diễn ra ca (...)'</t>
  </si>
  <si>
    <t>FB-005</t>
  </si>
  <si>
    <t>Ca chưa được duyệt</t>
  </si>
  <si>
    <t>NV có ca PENDING</t>
  </si>
  <si>
    <t>1. Thử gửi phản hồi cho ca chưa duyệt</t>
  </si>
  <si>
    <t>Báo 'Chỉ phản hồi được ca làm đã được duyệt của bạn'</t>
  </si>
  <si>
    <t>FB-006</t>
  </si>
  <si>
    <t>Đồng nghiệp</t>
  </si>
  <si>
    <t>Gửi không chỉ đích danh</t>
  </si>
  <si>
    <t>1. Chọn loại Đồng nghiệp
2. Không chọn người
3. Nhập nội dung
4. Gửi</t>
  </si>
  <si>
    <t>Gửi thành công (chọn người không bắt buộc)</t>
  </si>
  <si>
    <t>FB-007</t>
  </si>
  <si>
    <t>Chỉ đích danh đồng nghiệp cùng cửa hàng</t>
  </si>
  <si>
    <t>1. Chọn loại Đồng nghiệp
2. Chọn 1 đồng nghiệp
3. Gửi</t>
  </si>
  <si>
    <t>Gửi thành công, phản hồi gắn đồng nghiệp được chọn</t>
  </si>
  <si>
    <t>FB-008</t>
  </si>
  <si>
    <t>Đồng nghiệp khác cửa hàng (qua API)</t>
  </si>
  <si>
    <t>Có Postman/token NV</t>
  </si>
  <si>
    <t>1. Gọi API gửi phản hồi với nhân viên thuộc cửa hàng khác</t>
  </si>
  <si>
    <t>Lỗi 'Đồng nghiệp được chọn không cùng cửa hàng với bạn'</t>
  </si>
  <si>
    <t>FB-009</t>
  </si>
  <si>
    <t>Hệ thống</t>
  </si>
  <si>
    <t>Phản hồi Hệ thống gửi tới Admin</t>
  </si>
  <si>
    <t>1. Chọn loại Hệ thống
2. Nhập nội dung + ảnh lỗi
3. Gửi
4. Đăng nhập Admin, mở Phản hồi</t>
  </si>
  <si>
    <t>Admin thấy phản hồi trong danh sách</t>
  </si>
  <si>
    <t>FB-010</t>
  </si>
  <si>
    <t>Nội dung trống</t>
  </si>
  <si>
    <t>1. Để trống nội dung
2. Gửi</t>
  </si>
  <si>
    <t>Báo 'Nội dung phản hồi không được để trống'</t>
  </si>
  <si>
    <t>FB-011</t>
  </si>
  <si>
    <t>Đính kèm</t>
  </si>
  <si>
    <t>Đính kèm 5 ảnh</t>
  </si>
  <si>
    <t>1. Đính kèm đúng 5 ảnh hợp lệ
2. Gửi</t>
  </si>
  <si>
    <t>5 file .jpg &lt; 10MB</t>
  </si>
  <si>
    <t>Gửi thành công; xem được ảnh trong chi tiết</t>
  </si>
  <si>
    <t>FB-012</t>
  </si>
  <si>
    <t>Đính kèm 6 ảnh</t>
  </si>
  <si>
    <t>1. Đính kèm 6 ảnh
2. Gửi</t>
  </si>
  <si>
    <t>6 file .jpg</t>
  </si>
  <si>
    <t>Báo 'Chỉ đính kèm tối đa 5 ảnh'</t>
  </si>
  <si>
    <t>FB-013</t>
  </si>
  <si>
    <t>File không phải ảnh</t>
  </si>
  <si>
    <t>1. Đính kèm file .pdf / .docx</t>
  </si>
  <si>
    <t>Báo 'Chỉ hỗ trợ tệp hình ảnh'</t>
  </si>
  <si>
    <t>FB-014</t>
  </si>
  <si>
    <t>Ảnh &gt; 10MB</t>
  </si>
  <si>
    <t>1. Đính kèm ảnh 11MB</t>
  </si>
  <si>
    <t>Báo 'Ảnh không được vượt quá 10MB'</t>
  </si>
  <si>
    <t>FB-015</t>
  </si>
  <si>
    <t>Quyền gửi</t>
  </si>
  <si>
    <t>Quản lý chỉ gửi được loại Hệ thống</t>
  </si>
  <si>
    <t>Đăng nhập Quản lý</t>
  </si>
  <si>
    <t>1. Mở Phản hồi
2. Bấm Gửi phản hồi</t>
  </si>
  <si>
    <t>Chỉ có loại Hệ thống</t>
  </si>
  <si>
    <t>FB-016</t>
  </si>
  <si>
    <t>Xem phản hồi</t>
  </si>
  <si>
    <t>Người gửi</t>
  </si>
  <si>
    <t>Người gửi chỉ xem, không thu hồi / xóa</t>
  </si>
  <si>
    <t>NV đã gửi phản hồi</t>
  </si>
  <si>
    <t>1. Mở danh sách phản hồi của tôi
2. Mở chi tiết</t>
  </si>
  <si>
    <t>Xem được nội dung, ảnh, lịch sử xử lý; không có nút Thu hồi / Xóa</t>
  </si>
  <si>
    <t>FB-017</t>
  </si>
  <si>
    <t>Xử lý phản hồi</t>
  </si>
  <si>
    <t>Không còn trạng thái 'Từ chối'</t>
  </si>
  <si>
    <t>Đăng nhập TCH / Quản lý / Admin</t>
  </si>
  <si>
    <t>1. Mở 1 phản hồi
2. Xem các lựa chọn trạng thái</t>
  </si>
  <si>
    <t>Chỉ có PENDING, REVIEWED, RESOLVED, CLOSED</t>
  </si>
  <si>
    <t>FB-018</t>
  </si>
  <si>
    <t>PENDING → REVIEWED</t>
  </si>
  <si>
    <t>Phản hồi PENDING</t>
  </si>
  <si>
    <t>1. Chọn REVIEWED
2. Nhập ghi chú
3. Lưu</t>
  </si>
  <si>
    <t>Toast 'Đã cập nhật phản hồi'; trạng thái REVIEWED</t>
  </si>
  <si>
    <t>FB-019</t>
  </si>
  <si>
    <t>REVIEWED → RESOLVED</t>
  </si>
  <si>
    <t>Phản hồi REVIEWED</t>
  </si>
  <si>
    <t>1. Chọn RESOLVED
2. Lưu</t>
  </si>
  <si>
    <t>Trạng thái RESOLVED</t>
  </si>
  <si>
    <t>FB-020</t>
  </si>
  <si>
    <t>RESOLVED → REVIEWED (quay lại)</t>
  </si>
  <si>
    <t>Phản hồi RESOLVED</t>
  </si>
  <si>
    <t>1. Chọn REVIEWED
2. Lưu</t>
  </si>
  <si>
    <t>Cho phép; trạng thái REVIEWED</t>
  </si>
  <si>
    <t>FB-021</t>
  </si>
  <si>
    <t>PENDING → CLOSED</t>
  </si>
  <si>
    <t>1. Chọn CLOSED
2. Lưu</t>
  </si>
  <si>
    <t>Trạng thái CLOSED</t>
  </si>
  <si>
    <t>FB-022</t>
  </si>
  <si>
    <t>RESOLVED → CLOSED</t>
  </si>
  <si>
    <t>FB-023</t>
  </si>
  <si>
    <t>Chuyển trạng thái không hợp lệ</t>
  </si>
  <si>
    <t>Phản hồi PENDING / REVIEWED</t>
  </si>
  <si>
    <t>1. Thử PENDING → RESOLVED; REVIEWED → CLOSED</t>
  </si>
  <si>
    <t>Không có lựa chọn trên UI; gọi API báo 'Không thể chuyển từ ...'</t>
  </si>
  <si>
    <t>FB-024</t>
  </si>
  <si>
    <t>CLOSED là trạng thái cuối</t>
  </si>
  <si>
    <t>Phản hồi CLOSED</t>
  </si>
  <si>
    <t>1. Thử đổi sang trạng thái khác</t>
  </si>
  <si>
    <t>Không cho đổi; API báo 'Phản hồi đã đóng, không thể chuyển trạng thái'</t>
  </si>
  <si>
    <t>FB-025</t>
  </si>
  <si>
    <t>Lịch sử xử lý</t>
  </si>
  <si>
    <t>Ghi chú mỗi lần chuyển trạng thái được lưu lịch sử</t>
  </si>
  <si>
    <t>Đã chuyển trạng thái 2 lần kèm ghi chú</t>
  </si>
  <si>
    <t>1. Mở chi tiết bằng tài khoản xử lý
2. Mở chi tiết bằng tài khoản người gửi</t>
  </si>
  <si>
    <t>Dòng thời gian 'Lịch sử xử lý' hiện: trạng thái cũ → mới, người xử lý, vai trò, thời gian, ghi chú (cả 2 phía đều thấy)</t>
  </si>
  <si>
    <t>FB-026</t>
  </si>
  <si>
    <t>Phản hồi thay</t>
  </si>
  <si>
    <t>Quản lý phản hồi thay TCH</t>
  </si>
  <si>
    <t>Có phản hồi gửi tới TCH của cửa hàng thuộc chuỗi Quản lý quản lý</t>
  </si>
  <si>
    <t>1. Đăng nhập Quản lý
2. Mở phản hồi đó
3. Chuyển trạng thái</t>
  </si>
  <si>
    <t>Popup báo 'bạn đang phản hồi thay'; sau khi lưu, danh sách + chi tiết gắn nhãn 'Quản lý phản hồi thay'</t>
  </si>
  <si>
    <t>FB-027</t>
  </si>
  <si>
    <t>Phạm vi</t>
  </si>
  <si>
    <t>TCH chỉ thấy phản hồi cửa hàng mình</t>
  </si>
  <si>
    <t>Có phản hồi ở 2 cửa hàng</t>
  </si>
  <si>
    <t>1. Đăng nhập TCH cửa hàng A
2. Mở Quản lý phản hồi</t>
  </si>
  <si>
    <t>Chỉ thấy phản hồi cửa hàng A; mở phản hồi cửa hàng B qua API báo 'Bạn không có quyền xem phản hồi này'</t>
  </si>
  <si>
    <t>FB-028</t>
  </si>
  <si>
    <t>Danh sách</t>
  </si>
  <si>
    <t>Bộ lọc</t>
  </si>
  <si>
    <t>Lọc theo khoảng thời gian gửi</t>
  </si>
  <si>
    <t>Có phản hồi ở nhiều ngày</t>
  </si>
  <si>
    <t>1. Chọn Từ ngày – Đến ngày</t>
  </si>
  <si>
    <t>Chỉ hiển thị phản hồi gửi trong khoảng đã chọn (tính cả 2 đầu mút)</t>
  </si>
  <si>
    <t>FB-029</t>
  </si>
  <si>
    <t>Lọc theo vai trò người gửi</t>
  </si>
  <si>
    <t>1. Chọn vai trò người gửi = Nhân viên / TCH</t>
  </si>
  <si>
    <t>Danh sách đúng vai trò</t>
  </si>
  <si>
    <t>FB-030</t>
  </si>
  <si>
    <t>Menu TCH</t>
  </si>
  <si>
    <t>TCH có 1 menu 'Quản lý phản hồi'</t>
  </si>
  <si>
    <t>Đăng nhập TCH</t>
  </si>
  <si>
    <t>1. Xem menu</t>
  </si>
  <si>
    <t>Chỉ có 1 menu 'Quản lý phản hồi' (danh sách + nút Gửi phản hồi), không còn menu 'Feedback nhân viên' riêng</t>
  </si>
  <si>
    <t>NV-001</t>
  </si>
  <si>
    <t>Tổng quan</t>
  </si>
  <si>
    <t>Hiển thị</t>
  </si>
  <si>
    <t>Trang Tổng quan tải không lỗi</t>
  </si>
  <si>
    <t>1. Mở Tổng quan</t>
  </si>
  <si>
    <t>Hiển thị số liệu, ca sắp tới; không có lỗi</t>
  </si>
  <si>
    <t>NV-002</t>
  </si>
  <si>
    <t>Đặt lịch khẩn</t>
  </si>
  <si>
    <t>Mở Đặt lịch khẩn từ Tổng quan</t>
  </si>
  <si>
    <t>1. Bấm nút Đặt lịch khẩn ở Tổng quan</t>
  </si>
  <si>
    <t>Mở popup Đặt lịch khẩn</t>
  </si>
  <si>
    <t>NV-003</t>
  </si>
  <si>
    <t>Lịch làm việc</t>
  </si>
  <si>
    <t>Chỉ hiện ca của kỳ đã kết thúc đăng ký</t>
  </si>
  <si>
    <t>Có 1 kỳ đã chốt và 1 kỳ đang mở đăng ký, NV có ca ở cả 2</t>
  </si>
  <si>
    <t>1. Mở Lịch làm việc</t>
  </si>
  <si>
    <t>Chỉ hiện ca của kỳ đã kết thúc đăng ký; hiện thông báo số ca đang ẩn và link sang Đăng ký ca</t>
  </si>
  <si>
    <t>NV-004</t>
  </si>
  <si>
    <t>Link sang Đăng ký ca</t>
  </si>
  <si>
    <t>Có ca đang ẩn</t>
  </si>
  <si>
    <t>1. Bấm link trong thông báo số ca đang ẩn</t>
  </si>
  <si>
    <t>Chuyển sang trang Đăng ký ca</t>
  </si>
  <si>
    <t>NV-005</t>
  </si>
  <si>
    <t>Danh sách yêu cầu</t>
  </si>
  <si>
    <t>Xem Danh sách yêu cầu</t>
  </si>
  <si>
    <t>NV đã có yêu cầu đăng ký và đặt lịch khẩn</t>
  </si>
  <si>
    <t>1. Chuyển chế độ 'Danh sách yêu cầu'</t>
  </si>
  <si>
    <t>Danh sách chung, phân loại Đăng ký ca / Đặt lịch khẩn (+ Thêm / Đổi / Hủy)</t>
  </si>
  <si>
    <t>NV-006</t>
  </si>
  <si>
    <t>Lọc danh sách yêu cầu</t>
  </si>
  <si>
    <t>1. Lọc lần lượt theo phân loại, loại, trạng thái, cửa hàng, người đổi cùng, ngày làm, ngày gửi, tìm kiếm</t>
  </si>
  <si>
    <t>Kết quả đúng từng bộ lọc và khi kết hợp nhiều bộ lọc</t>
  </si>
  <si>
    <t>NV-007</t>
  </si>
  <si>
    <t>Popup</t>
  </si>
  <si>
    <t>Đổi loại thì trường thay đổi</t>
  </si>
  <si>
    <t>1. Bấm Đặt lịch khẩn
2. Chọn lần lượt Thêm / Đổi / Hủy</t>
  </si>
  <si>
    <t>Thêm: chọn ca muốn thêm; Đổi: ca hiện tại + ca muốn đổi sang + NV đổi cùng; Hủy: ca hiện tại + lý do</t>
  </si>
  <si>
    <t>NV-008</t>
  </si>
  <si>
    <t>Mở từ nút Đổi / Hủy trên thẻ ca</t>
  </si>
  <si>
    <t>NV có ca đã duyệt</t>
  </si>
  <si>
    <t>1. Bấm Đổi (hoặc Hủy) trên thẻ ca</t>
  </si>
  <si>
    <t>Popup mở với loại tương ứng và ca hiện tại được chọn sẵn</t>
  </si>
  <si>
    <t>NV-009</t>
  </si>
  <si>
    <t>Thêm ca</t>
  </si>
  <si>
    <t>Thêm ca hợp lệ</t>
  </si>
  <si>
    <t>Ca thuộc kỳ đã kết thúc đăng ký, bắt đầu sau hiện tại, NV thuộc nhóm ca</t>
  </si>
  <si>
    <t>1. Chọn Thêm
2. Chọn ca
3. Nhập lý do
4. Gửi</t>
  </si>
  <si>
    <t>Tạo yêu cầu PENDING, hiện trong Danh sách yêu cầu</t>
  </si>
  <si>
    <t>NV-010</t>
  </si>
  <si>
    <t>1. Chọn Thêm
2. Không chọn ca
3. Gửi</t>
  </si>
  <si>
    <t>Báo 'Vui lòng chọn ca muốn thêm'</t>
  </si>
  <si>
    <t>NV-011</t>
  </si>
  <si>
    <t>Ca đã bắt đầu / đã qua</t>
  </si>
  <si>
    <t>Có ca hôm nay đã bắt đầu</t>
  </si>
  <si>
    <t>1. Chọn ca đó (qua API nếu UI đã ẩn)</t>
  </si>
  <si>
    <t>Ca không có trong danh sách; API báo '... đã bắt đầu hoặc đã qua – chỉ chọn được ca sau thời điểm hiện tại'</t>
  </si>
  <si>
    <t>NV-012</t>
  </si>
  <si>
    <t>Ca bắt đầu sau hiện tại vài phút (cùng ngày)</t>
  </si>
  <si>
    <t>Có ca hôm nay bắt đầu sau giờ hiện tại</t>
  </si>
  <si>
    <t>1. Chọn ca đó
2. Gửi</t>
  </si>
  <si>
    <t>Cho phép (so cả ngày + giờ bắt đầu)</t>
  </si>
  <si>
    <t>NV-013</t>
  </si>
  <si>
    <t>Ca thuộc kỳ còn mở đăng ký</t>
  </si>
  <si>
    <t>1. Thử thêm ca thuộc kỳ đang mở</t>
  </si>
  <si>
    <t>Không cho phép (chỉ áp dụng lịch đang dùng)</t>
  </si>
  <si>
    <t>NV-014</t>
  </si>
  <si>
    <t>Gửi trùng yêu cầu thêm</t>
  </si>
  <si>
    <t>Đã gửi yêu cầu thêm ca X đang chờ</t>
  </si>
  <si>
    <t>1. Gửi lại yêu cầu thêm ca X</t>
  </si>
  <si>
    <t>Báo 'Bạn đã gửi yêu cầu thêm ca này, đang chờ duyệt'</t>
  </si>
  <si>
    <t>NV-015</t>
  </si>
  <si>
    <t>Thêm ca mà mình đã có</t>
  </si>
  <si>
    <t>NV đã có trong ca X</t>
  </si>
  <si>
    <t>1. Thêm ca X</t>
  </si>
  <si>
    <t>Báo 'Bạn đã có ca được chọn rồi'</t>
  </si>
  <si>
    <t>NV-016</t>
  </si>
  <si>
    <t>Ca không thuộc nhóm ca của NV</t>
  </si>
  <si>
    <t>1. Thêm ca thuộc nhóm ca khác (qua API)</t>
  </si>
  <si>
    <t>Báo 'Bạn không thuộc nhóm ca của ca được chọn'</t>
  </si>
  <si>
    <t>NV-017</t>
  </si>
  <si>
    <t>Đổi ca</t>
  </si>
  <si>
    <t>Đổi ca hợp lệ</t>
  </si>
  <si>
    <t>NV A có ca X, NV B có ca Y (cùng nhóm ca, cùng cửa hàng, sau hiện tại)</t>
  </si>
  <si>
    <t>1. Chọn Đổi
2. Ca hiện tại X
3. Ca muốn đổi sang Y
4. Chọn B
5. Gửi</t>
  </si>
  <si>
    <t>Yêu cầu PENDING; ca Y của B hiện trạng thái 'chờ đổi'</t>
  </si>
  <si>
    <t>NV-018</t>
  </si>
  <si>
    <t>Không chọn nhân viên đổi cùng</t>
  </si>
  <si>
    <t>1. Chọn Đổi
2. Chọn 2 ca
3. Không chọn NV
4. Gửi</t>
  </si>
  <si>
    <t>Báo 'Vui lòng chọn nhân viên muốn đổi ca cùng'</t>
  </si>
  <si>
    <t>NV-019</t>
  </si>
  <si>
    <t>Không chọn ca hiện tại / ca muốn đổi sang</t>
  </si>
  <si>
    <t>1. Bỏ trống từng trường
2. Gửi</t>
  </si>
  <si>
    <t>Báo 'Vui lòng chọn ca hiện tại' / 'Vui lòng chọn ca muốn đổi sang'</t>
  </si>
  <si>
    <t>NV-020</t>
  </si>
  <si>
    <t>Đổi sang ca khác cửa hàng</t>
  </si>
  <si>
    <t>1. Chọn ca đích ở cửa hàng khác (qua API)</t>
  </si>
  <si>
    <t>Báo 'Chỉ đổi sang ca cùng cửa hàng'</t>
  </si>
  <si>
    <t>NV-021</t>
  </si>
  <si>
    <t>NV được chọn không làm ca đích</t>
  </si>
  <si>
    <t>1. Chọn NV không có trong ca Y (qua API)</t>
  </si>
  <si>
    <t>Báo 'Nhân viên được chọn không làm ca muốn đổi sang'</t>
  </si>
  <si>
    <t>NV-022</t>
  </si>
  <si>
    <t>NV được chọn khác nhóm ca</t>
  </si>
  <si>
    <t>1. Chọn NV không thuộc nhóm ca của ca X</t>
  </si>
  <si>
    <t>Báo 'Nhân viên được chọn không thuộc nhóm ca của ca hiện tại của bạn'</t>
  </si>
  <si>
    <t>NV-023</t>
  </si>
  <si>
    <t>NV được chọn đã có trong ca hiện tại</t>
  </si>
  <si>
    <t>B cũng có trong ca X</t>
  </si>
  <si>
    <t>1. Chọn đổi với B</t>
  </si>
  <si>
    <t>Báo 'Nhân viên được chọn đã có trong ca hiện tại của bạn'</t>
  </si>
  <si>
    <t>NV-024</t>
  </si>
  <si>
    <t>Đổi với chính mình</t>
  </si>
  <si>
    <t>1. Chọn chính mình làm NV đổi cùng (qua API)</t>
  </si>
  <si>
    <t>Báo 'Không thể đổi ca với chính mình'</t>
  </si>
  <si>
    <t>NV-025</t>
  </si>
  <si>
    <t>Ca đã có yêu cầu chờ duyệt</t>
  </si>
  <si>
    <t>Ca X đã có yêu cầu khẩn PENDING</t>
  </si>
  <si>
    <t>1. Gửi thêm yêu cầu đổi / hủy cho ca X</t>
  </si>
  <si>
    <t>Báo 'Ca này đã có yêu cầu đang chờ duyệt'</t>
  </si>
  <si>
    <t>NV-026</t>
  </si>
  <si>
    <t>Lọc ca và nhân viên trong popup</t>
  </si>
  <si>
    <t>1. Mở popup lọc ca: từ ngày / đến ngày / cửa hàng / tên ca-nhóm-giờ
2. Tìm NV theo tên / mã</t>
  </si>
  <si>
    <t>Kết quả lọc đúng</t>
  </si>
  <si>
    <t>NV-027</t>
  </si>
  <si>
    <t>Hủy ca</t>
  </si>
  <si>
    <t>Hủy ca hợp lệ</t>
  </si>
  <si>
    <t>NV có ca đã duyệt sau hiện tại</t>
  </si>
  <si>
    <t>1. Chọn Hủy
2. Chọn ca
3. Nhập lý do
4. Gửi</t>
  </si>
  <si>
    <t>Yêu cầu hủy PENDING</t>
  </si>
  <si>
    <t>NV-028</t>
  </si>
  <si>
    <t>Không nhập lý do</t>
  </si>
  <si>
    <t>1. Chọn Hủy
2. Chọn ca
3. Để trống lý do
4. Gửi</t>
  </si>
  <si>
    <t>Báo 'Vui lòng nhập lý do'</t>
  </si>
  <si>
    <t>NV-029</t>
  </si>
  <si>
    <t>Hủy ca chưa được duyệt</t>
  </si>
  <si>
    <t>Ca đang PENDING</t>
  </si>
  <si>
    <t>1. Gửi yêu cầu hủy cho ca PENDING</t>
  </si>
  <si>
    <t>Báo 'Chỉ gửi yêu cầu cho ca đã được duyệt. Ca đang chờ duyệt có thể bỏ đăng ký trực tiếp'</t>
  </si>
  <si>
    <t>NV-030</t>
  </si>
  <si>
    <t>Đăng ký ca</t>
  </si>
  <si>
    <t>Giao diện</t>
  </si>
  <si>
    <t>Trang chỉ còn chức năng đăng ký</t>
  </si>
  <si>
    <t>1. Mở Đăng ký ca</t>
  </si>
  <si>
    <t>Không có nút Thêm / Đổi / Hủy ca</t>
  </si>
  <si>
    <t>NV-031</t>
  </si>
  <si>
    <t>Đăng ký ca trong kỳ đang mở</t>
  </si>
  <si>
    <t>Kỳ OPEN, trong thời gian mở – đóng đăng ký; NV thuộc nhóm ca</t>
  </si>
  <si>
    <t>1. Mở Đăng ký ca
2. Chọn ô ca trống
3. Xác nhận</t>
  </si>
  <si>
    <t>Đăng ký thành công, trạng thái chờ duyệt; số người đăng ký của ca tăng 1</t>
  </si>
  <si>
    <t>NV-032</t>
  </si>
  <si>
    <t>Kỳ đã đóng đăng ký</t>
  </si>
  <si>
    <t>Đã qua registration_close_at</t>
  </si>
  <si>
    <t>1. Thử đăng ký ca</t>
  </si>
  <si>
    <t>Báo '... đã đóng đăng ký lúc ...'</t>
  </si>
  <si>
    <t>NV-033</t>
  </si>
  <si>
    <t>Kỳ chưa mở / không mở</t>
  </si>
  <si>
    <t>Kỳ DRAFT / CANCELLED</t>
  </si>
  <si>
    <t>Báo '... không còn mở đăng ký' / '... không thuộc kỳ đăng ký nào đang mở của cửa hàng'</t>
  </si>
  <si>
    <t>NV-034</t>
  </si>
  <si>
    <t>Ca của ngày đã qua</t>
  </si>
  <si>
    <t>1. Thử đăng ký ca ngày hôm qua</t>
  </si>
  <si>
    <t>Báo 'Không thể đăng ký ca của ngày đã qua'</t>
  </si>
  <si>
    <t>NV-035</t>
  </si>
  <si>
    <t>Đăng ký trùng</t>
  </si>
  <si>
    <t>Đã đăng ký ca X</t>
  </si>
  <si>
    <t>1. Đăng ký lại ca X</t>
  </si>
  <si>
    <t>Báo 'Bạn đã đăng ký ca này rồi'</t>
  </si>
  <si>
    <t>NV-036</t>
  </si>
  <si>
    <t>Không thuộc nhóm ca</t>
  </si>
  <si>
    <t>1. Đăng ký ca của nhóm mà NV không phải thành viên</t>
  </si>
  <si>
    <t>Báo 'Bạn không thuộc nhóm ca ...'</t>
  </si>
  <si>
    <t>NV-037</t>
  </si>
  <si>
    <t>Sức chứa</t>
  </si>
  <si>
    <t>Ca đạt số người tối đa</t>
  </si>
  <si>
    <t>Ca đã đủ max</t>
  </si>
  <si>
    <t>1. Đăng ký ca đó</t>
  </si>
  <si>
    <t>Báo 'Ca đã đủ số người tối đa (...)' / 'Ca này đã đủ ...'</t>
  </si>
  <si>
    <t>NV-038</t>
  </si>
  <si>
    <t>Ngưỡng min</t>
  </si>
  <si>
    <t>Khung giờ đã đạt min khi khung khác chưa đạt</t>
  </si>
  <si>
    <t>Nhóm ca có Sáng/Trưa/Tối; Sáng đã đủ min, Trưa chưa đủ min</t>
  </si>
  <si>
    <t>1. Đăng ký khung Sáng</t>
  </si>
  <si>
    <t>Ô hiện 'Đủ tối thiểu – đăng ký khung giờ khác trước'; không đăng ký được</t>
  </si>
  <si>
    <t>NV-039</t>
  </si>
  <si>
    <t>Tất cả khung giờ đạt min → nâng ngưỡng lên max</t>
  </si>
  <si>
    <t>Mọi khung giờ của nhóm trong ngày đã đạt min</t>
  </si>
  <si>
    <t>1. Đăng ký thêm vào khung Sáng</t>
  </si>
  <si>
    <t>Đăng ký được cho tới khi đạt max</t>
  </si>
  <si>
    <t>NV-040</t>
  </si>
  <si>
    <t>Bỏ đăng ký</t>
  </si>
  <si>
    <t>Bỏ đăng ký khi còn thời gian đăng ký</t>
  </si>
  <si>
    <t>Đã đăng ký ca (kể cả đã được duyệt), kỳ còn mở</t>
  </si>
  <si>
    <t>1. Bấm bỏ đăng ký</t>
  </si>
  <si>
    <t>Xóa hẳn như chưa từng đăng ký (không cần duyệt); yêu cầu khẩn gắn với phân ca đó cũng bị xóa</t>
  </si>
  <si>
    <t>NV-041</t>
  </si>
  <si>
    <t>Bỏ đăng ký sau khi hết thời gian</t>
  </si>
  <si>
    <t>Báo 'Đã hết thời gian đăng ký nên không thể bỏ đăng ký (...). Vui lòng gửi yêu cầu hủy ca cho quản lý'</t>
  </si>
  <si>
    <t>NV-042</t>
  </si>
  <si>
    <t>Thống kê</t>
  </si>
  <si>
    <t>Thống kê ca làm &amp; tiền công</t>
  </si>
  <si>
    <t>NV có ca hoàn thành, có chấm công</t>
  </si>
  <si>
    <t>1. Mở 'Thống kê ca làm &amp; tiền'</t>
  </si>
  <si>
    <t>Hiện Tổng giờ làm, Ca hoàn thành, Chuyên cần, Tiền công tạm tính, Thưởng / Khấu trừ; số liệu khớp với chấm công và đơn giá</t>
  </si>
  <si>
    <t>NV-043</t>
  </si>
  <si>
    <t>Lịch sử ca</t>
  </si>
  <si>
    <t>Lịch sử ca của tôi</t>
  </si>
  <si>
    <t>1. Xem bảng 'Lịch sử ca của tôi'</t>
  </si>
  <si>
    <t>Liệt kê đúng ca đã làm, trạng thái Đã thanh toán / Chưa thanh toán</t>
  </si>
  <si>
    <t>NV-044</t>
  </si>
  <si>
    <t>Thông tin cá nhân</t>
  </si>
  <si>
    <t>Xem</t>
  </si>
  <si>
    <t>Xem thông tin cá nhân</t>
  </si>
  <si>
    <t>1. Mở Thông tin cá nhân</t>
  </si>
  <si>
    <t>Hiện đúng họ tên, email, SĐT, cửa hàng chính, vị trí, đơn giá giờ làm...</t>
  </si>
  <si>
    <t>NV-045</t>
  </si>
  <si>
    <t>Chỉnh sửa</t>
  </si>
  <si>
    <t>Chỉnh sửa thông tin</t>
  </si>
  <si>
    <t>1. Bấm Chỉnh sửa thông tin
2. Sửa SĐT, địa chỉ
3. Lưu
4. Tải lại trang</t>
  </si>
  <si>
    <t>Lưu thành công, dữ liệu giữ sau khi tải lại</t>
  </si>
  <si>
    <t>NV-046</t>
  </si>
  <si>
    <t>Đổi mật khẩu</t>
  </si>
  <si>
    <t>1. Bấm Đổi mật khẩu
2. Nhập mật khẩu cũ + mới
3. Lưu
4. Đăng nhập lại</t>
  </si>
  <si>
    <t>Đăng nhập được bằng mật khẩu mới</t>
  </si>
  <si>
    <t>NV-047</t>
  </si>
  <si>
    <t>Bài kiểm tra</t>
  </si>
  <si>
    <t>Xem danh sách bài được giao</t>
  </si>
  <si>
    <t>NV được giao bài test</t>
  </si>
  <si>
    <t>1. Mở Bài kiểm tra</t>
  </si>
  <si>
    <t>Hiện danh sách, hạn hoàn thành, thời lượng, trạng thái; số liệu Bài được giao / Cần hoàn thành / Đã hoàn thành đúng</t>
  </si>
  <si>
    <t>NV-048</t>
  </si>
  <si>
    <t>Làm bài</t>
  </si>
  <si>
    <t>Làm và nộp bài</t>
  </si>
  <si>
    <t>Bài trạng thái Chưa làm</t>
  </si>
  <si>
    <t>1. Bấm Bắt đầu
2. Trả lời câu hỏi
3. Nộp bài</t>
  </si>
  <si>
    <t>Hiện điểm; trạng thái chuyển Hoàn thành</t>
  </si>
  <si>
    <t>NV-049</t>
  </si>
  <si>
    <t>Hết thời lượng làm bài</t>
  </si>
  <si>
    <t>1. Bắt đầu làm bài
2. Chờ hết thời lượng</t>
  </si>
  <si>
    <t>Bài tự nộp / khóa khi hết giờ</t>
  </si>
  <si>
    <t>NV-050</t>
  </si>
  <si>
    <t>Lọc theo trạng thái</t>
  </si>
  <si>
    <t>1. Chọn Chưa làm / Đang làm / Hoàn thành</t>
  </si>
  <si>
    <t>Danh sách đúng trạng thái</t>
  </si>
  <si>
    <t>TCH-001</t>
  </si>
  <si>
    <t>Không xuất hiện lỗi NoClassDefFoundError; số liệu hiển thị</t>
  </si>
  <si>
    <t>TCH-002</t>
  </si>
  <si>
    <t>Quản lý ca</t>
  </si>
  <si>
    <t>Menu Quản lý ca gồm 3 tab</t>
  </si>
  <si>
    <t>1. Mở Quản lý ca</t>
  </si>
  <si>
    <t>Có tab: Lịch làm việc · Xử lý yêu cầu ca · Đăng ký ca của tôi; Lịch làm việc dùng giao diện TKB</t>
  </si>
  <si>
    <t>TCH-003</t>
  </si>
  <si>
    <t>Chỉ thấy dữ liệu cửa hàng mình</t>
  </si>
  <si>
    <t>1. Mở Lịch làm việc
2. Xem bộ lọc cửa hàng</t>
  </si>
  <si>
    <t>Chỉ có cửa hàng TCH quản lý</t>
  </si>
  <si>
    <t>TCH-004</t>
  </si>
  <si>
    <t>Xuất danh sách ca</t>
  </si>
  <si>
    <t>Xuất Excel đúng dữ liệu đang lọc</t>
  </si>
  <si>
    <t>Có nhiều ca</t>
  </si>
  <si>
    <t>1. Chuyển chế độ Danh sách
2. Lọc từ ngày – đến ngày, nhóm ca
3. Bấm Tải Excel
4. Mở file bằng Excel</t>
  </si>
  <si>
    <t>Tải về file .xlsx mở được bằng Excel; số dòng và nội dung đúng như đang hiển thị</t>
  </si>
  <si>
    <t>TCH-005</t>
  </si>
  <si>
    <t>Đủ bộ lọc</t>
  </si>
  <si>
    <t>1. Dùng lần lượt: từ ngày – đến ngày, cửa hàng, kỳ, nhóm ca, trạng thái ca, nhân viên, trạng thái phân ca, tìm kiếm</t>
  </si>
  <si>
    <t>Từng bộ lọc hoạt động đúng</t>
  </si>
  <si>
    <t>TCH-006</t>
  </si>
  <si>
    <t>Lọc 'ca chưa có nhân viên'</t>
  </si>
  <si>
    <t>Có ca trống</t>
  </si>
  <si>
    <t>1. Chọn trạng thái phân ca = ca chưa có nhân viên
2. Tải Excel</t>
  </si>
  <si>
    <t>Chỉ ca chưa có ai; file xuất đúng</t>
  </si>
  <si>
    <t>TCH-007</t>
  </si>
  <si>
    <t>Xuất khi danh sách rỗng</t>
  </si>
  <si>
    <t>1. Lọc ra 0 dòng
2. Tải Excel</t>
  </si>
  <si>
    <t>Không lỗi; file chỉ có tiêu đề hoặc nút bị vô hiệu / có thông báo</t>
  </si>
  <si>
    <t>TCH-008</t>
  </si>
  <si>
    <t>Xử lý yêu cầu ca</t>
  </si>
  <si>
    <t>Duyệt đăng ký</t>
  </si>
  <si>
    <t>Duyệt đăng ký ca</t>
  </si>
  <si>
    <t>Có đăng ký PENDING</t>
  </si>
  <si>
    <t>1. Mở Xử lý yêu cầu ca
2. Duyệt 1 đăng ký</t>
  </si>
  <si>
    <t>Đăng ký thành APPROVED; NV thấy ca ở Lịch làm việc khi kỳ đã chốt</t>
  </si>
  <si>
    <t>TCH-009</t>
  </si>
  <si>
    <t>Từ chối</t>
  </si>
  <si>
    <t>Từ chối yêu cầu</t>
  </si>
  <si>
    <t>1. Bấm Từ chối
2. Nhập lý do</t>
  </si>
  <si>
    <t>Trạng thái REJECTED; NV thấy kết quả + thông báo</t>
  </si>
  <si>
    <t>TCH-010</t>
  </si>
  <si>
    <t>Duyệt hàng loạt</t>
  </si>
  <si>
    <t>Duyệt nhiều yêu cầu cùng lúc</t>
  </si>
  <si>
    <t>Có ≥3 yêu cầu PENDING</t>
  </si>
  <si>
    <t>1. Chọn nhiều
2. Bấm duyệt hàng loạt</t>
  </si>
  <si>
    <t>Tất cả được duyệt và áp dụng vào lịch</t>
  </si>
  <si>
    <t>TCH-011</t>
  </si>
  <si>
    <t>Duyệt Thêm ca</t>
  </si>
  <si>
    <t>Duyệt yêu cầu Thêm ca áp dụng vào lịch</t>
  </si>
  <si>
    <t>Có yêu cầu Thêm ca PENDING</t>
  </si>
  <si>
    <t>1. Duyệt
2. Mở TKB</t>
  </si>
  <si>
    <t>NV xuất hiện trong ca được thêm</t>
  </si>
  <si>
    <t>TCH-012</t>
  </si>
  <si>
    <t>Duyệt Hủy ca</t>
  </si>
  <si>
    <t>Duyệt yêu cầu Hủy ca áp dụng vào lịch</t>
  </si>
  <si>
    <t>Có yêu cầu Hủy PENDING</t>
  </si>
  <si>
    <t>NV không còn trong ca</t>
  </si>
  <si>
    <t>TCH-013</t>
  </si>
  <si>
    <t>Duyệt Đổi ca</t>
  </si>
  <si>
    <t>Duyệt Đổi ca: hai người đổi chỗ</t>
  </si>
  <si>
    <t>A (ca X) đổi với B (ca Y)</t>
  </si>
  <si>
    <t>1. Duyệt
2. Mở TKB ca X, Y</t>
  </si>
  <si>
    <t>A ở ca Y, B ở ca X; số người mỗi ca giữ nguyên</t>
  </si>
  <si>
    <t>TCH-014</t>
  </si>
  <si>
    <t>Ca đã thay đổi trước khi duyệt</t>
  </si>
  <si>
    <t>Sau khi gửi đổi ca, B bị gỡ khỏi ca Y</t>
  </si>
  <si>
    <t>1. Duyệt yêu cầu đổi</t>
  </si>
  <si>
    <t>Báo 'Một trong hai ca đã thay đổi, không thể đổi ca'</t>
  </si>
  <si>
    <t>TCH-015</t>
  </si>
  <si>
    <t>Thời gian</t>
  </si>
  <si>
    <t>Duyệt yêu cầu có ca đã bắt đầu</t>
  </si>
  <si>
    <t>Yêu cầu khẩn PENDING cho ca đã bắt đầu</t>
  </si>
  <si>
    <t>1. Duyệt</t>
  </si>
  <si>
    <t>Báo '... đã bắt đầu hoặc đã qua, không thể duyệt yêu cầu'</t>
  </si>
  <si>
    <t>TCH-016</t>
  </si>
  <si>
    <t>Phân bổ ca</t>
  </si>
  <si>
    <t>Phân bổ</t>
  </si>
  <si>
    <t>Phân bổ NV đúng nhóm ca</t>
  </si>
  <si>
    <t>1. Mở chi tiết ca
2. Bấm phân bổ
3. Xem danh sách NV</t>
  </si>
  <si>
    <t>Chỉ liệt kê thành viên nhóm ca chưa có trong ca; phân bổ thành công</t>
  </si>
  <si>
    <t>TCH-017</t>
  </si>
  <si>
    <t>Phân bổ NV sai nhóm (qua API)</t>
  </si>
  <si>
    <t>1. Gọi API phân bổ NV không thuộc nhóm ca</t>
  </si>
  <si>
    <t>Bị chặn: '... không thuộc nhóm ca ... nên không thể phân vào ca này'</t>
  </si>
  <si>
    <t>TCH-018</t>
  </si>
  <si>
    <t>Phân bổ trùng người</t>
  </si>
  <si>
    <t>NV đã có trong ca</t>
  </si>
  <si>
    <t>1. Phân bổ lại NV đó</t>
  </si>
  <si>
    <t>Báo 'Nhân viên đã có trong ca này'</t>
  </si>
  <si>
    <t>TCH-019</t>
  </si>
  <si>
    <t>Thêm NV vượt min khi chưa thỏa điều kiện nhóm</t>
  </si>
  <si>
    <t>Ca đã đạt min, khung khác chưa đạt min</t>
  </si>
  <si>
    <t>1. Phân bổ thêm NV</t>
  </si>
  <si>
    <t>Cho phép (TCH chỉ bị giới hạn bởi max)</t>
  </si>
  <si>
    <t>TCH-020</t>
  </si>
  <si>
    <t>Phân bổ vượt max</t>
  </si>
  <si>
    <t>1. Phân bổ thêm 1 NV</t>
  </si>
  <si>
    <t>Báo 'Ca đã đủ số người tối đa (...)'</t>
  </si>
  <si>
    <t>TCH-021</t>
  </si>
  <si>
    <t>Đăng ký ca của tôi</t>
  </si>
  <si>
    <t>TCH tự đăng ký ca cho mình</t>
  </si>
  <si>
    <t>Kỳ đang mở</t>
  </si>
  <si>
    <t>1. Mở tab Đăng ký ca của tôi
2. Đăng ký 1 ca</t>
  </si>
  <si>
    <t>Đăng ký thành công; không có lựa chọn đăng ký cho NV khác</t>
  </si>
  <si>
    <t>TCH-022</t>
  </si>
  <si>
    <t>Quản lý nhân sự</t>
  </si>
  <si>
    <t>Chỉ xem, giới hạn cửa hàng</t>
  </si>
  <si>
    <t>1. Mở Quản lý nhân sự</t>
  </si>
  <si>
    <t>Chỉ NV cửa hàng mình; không có nút Thêm / Sửa / Xóa</t>
  </si>
  <si>
    <t>TCH-023</t>
  </si>
  <si>
    <t>Xem hồ sơ + lọc / tìm kiếm</t>
  </si>
  <si>
    <t>1. Tìm theo tên / mã
2. Bấm 1 NV</t>
  </si>
  <si>
    <t>Kết quả đúng; mở popup hồ sơ</t>
  </si>
  <si>
    <t>TCH-024</t>
  </si>
  <si>
    <t>Truy cập NV cửa hàng khác (qua API)</t>
  </si>
  <si>
    <t>1. Gọi API lấy NV thuộc cửa hàng khác</t>
  </si>
  <si>
    <t>Báo 'Bạn không có quyền truy cập nhân viên này'</t>
  </si>
  <si>
    <t>TCH-025</t>
  </si>
  <si>
    <t>Xử lý vi phạm</t>
  </si>
  <si>
    <t>Lập biên bản</t>
  </si>
  <si>
    <t>Lập biên bản vi phạm</t>
  </si>
  <si>
    <t>1. Mở Xử lý vi phạm
2. Bấm Lập biên bản
3. Chọn NV, quy định, mô tả, mức phạt
4. Lưu</t>
  </si>
  <si>
    <t>Biên bản tạo ở trạng thái Chờ xác minh</t>
  </si>
  <si>
    <t>TCH-026</t>
  </si>
  <si>
    <t>Chuyển trạng thái biên bản</t>
  </si>
  <si>
    <t>Có biên bản Chờ xác minh</t>
  </si>
  <si>
    <t>1. Chuyển Đang xử lý → Đã hoàn tất</t>
  </si>
  <si>
    <t>Trạng thái cập nhật đúng; số liệu thẻ tổng hợp đổi theo</t>
  </si>
  <si>
    <t>TCH-027</t>
  </si>
  <si>
    <t>Thiếu trường bắt buộc</t>
  </si>
  <si>
    <t>1. Để trống NV / nội dung
2. Lưu</t>
  </si>
  <si>
    <t>Báo lỗi, không lưu</t>
  </si>
  <si>
    <t>TCH-028</t>
  </si>
  <si>
    <t>Kết quả bài test</t>
  </si>
  <si>
    <t>Xem kết quả NV cửa hàng mình</t>
  </si>
  <si>
    <t>NV đã làm bài</t>
  </si>
  <si>
    <t>1. Mở Kết quả bài test</t>
  </si>
  <si>
    <t>Chỉ NV cửa hàng mình; điểm đúng</t>
  </si>
  <si>
    <t>TCH-029</t>
  </si>
  <si>
    <t>Bài test của tôi</t>
  </si>
  <si>
    <t>TCH làm bài test</t>
  </si>
  <si>
    <t>TCH được giao bài</t>
  </si>
  <si>
    <t>1. Mở Bài test của tôi
2. Làm và nộp</t>
  </si>
  <si>
    <t>Có điểm; trạng thái Hoàn thành</t>
  </si>
  <si>
    <t>TCH-030</t>
  </si>
  <si>
    <t>Quản lý bài test</t>
  </si>
  <si>
    <t>Tạo bài</t>
  </si>
  <si>
    <t>Tạo bài test + câu hỏi</t>
  </si>
  <si>
    <t>1. Mở Quản lý bài test
2. Tạo bài
3. Thêm câu hỏi và đáp án đúng
4. Lưu
5. Giao cho NV</t>
  </si>
  <si>
    <t>Bài được tạo; NV nhận được bài</t>
  </si>
  <si>
    <t>TCH-031</t>
  </si>
  <si>
    <t>Todo list</t>
  </si>
  <si>
    <t>Thêm</t>
  </si>
  <si>
    <t>Thêm công việc</t>
  </si>
  <si>
    <t>1. Mở Todo list
2. Bấm Thêm công việc
3. Nhập tên, người phụ trách, hạn
4. Lưu</t>
  </si>
  <si>
    <t>Công việc ở cột Cần làm</t>
  </si>
  <si>
    <t>TCH-032</t>
  </si>
  <si>
    <t>Chuyển trạng thái công việc</t>
  </si>
  <si>
    <t>1. Chuyển Cần làm → Đang thực hiện → Đã hoàn thành</t>
  </si>
  <si>
    <t>Trạng thái cập nhật; số todo chưa xong ở chuông giảm</t>
  </si>
  <si>
    <t>TCH-033</t>
  </si>
  <si>
    <t>Truy cập todo cửa hàng khác (qua API)</t>
  </si>
  <si>
    <t>1. Gọi API sửa todo cửa hàng khác</t>
  </si>
  <si>
    <t>Báo 'Bạn không có quyền truy cập công việc này' / 'Công việc phải thuộc cửa hàng bạn đang quản lý'</t>
  </si>
  <si>
    <t>QL-001</t>
  </si>
  <si>
    <t>Không lỗi; biểu đồ và số liệu hiển thị</t>
  </si>
  <si>
    <t>QL-002</t>
  </si>
  <si>
    <t>Thêm nhân viên mới</t>
  </si>
  <si>
    <t>1. Mở Quản lý nhân sự
2. Thêm
3. Nhập thông tin + ảnh
4. Lưu</t>
  </si>
  <si>
    <t>NV mới trong danh sách; (nếu có) email thông tin tài khoản được gửi</t>
  </si>
  <si>
    <t>QL-003</t>
  </si>
  <si>
    <t>Email nhân viên trùng</t>
  </si>
  <si>
    <t>1. Thêm NV với email đã có</t>
  </si>
  <si>
    <t>Báo lỗi 409 'Email ... ' đã tồn tại</t>
  </si>
  <si>
    <t>QL-004</t>
  </si>
  <si>
    <t>Sửa</t>
  </si>
  <si>
    <t>Sửa thông tin nhân viên</t>
  </si>
  <si>
    <t>1. Sửa 1 NV
2. Lưu</t>
  </si>
  <si>
    <t>Dữ liệu cập nhật</t>
  </si>
  <si>
    <t>QL-005</t>
  </si>
  <si>
    <t>Ảnh</t>
  </si>
  <si>
    <t>Upload ảnh không hợp lệ</t>
  </si>
  <si>
    <t>1. Upload file không phải ảnh / &gt; 10MB / để trống</t>
  </si>
  <si>
    <t>Báo 'Chỉ hỗ trợ tệp hình ảnh' / 'Ảnh không được vượt quá 10MB' / 'Ảnh tải lên không được để trống'</t>
  </si>
  <si>
    <t>QL-006</t>
  </si>
  <si>
    <t>Phân bổ NV vào 1 hoặc nhiều cửa hàng</t>
  </si>
  <si>
    <t>1. Mở NV
2. Gán cửa hàng A, B
3. Lưu</t>
  </si>
  <si>
    <t>NV xuất hiện ở cả 2 cửa hàng</t>
  </si>
  <si>
    <t>QL-007</t>
  </si>
  <si>
    <t>Vai trò</t>
  </si>
  <si>
    <t>Đổi vai trò NV → TCH</t>
  </si>
  <si>
    <t>1. Đổi vai trò
2. Lưu
3. Đăng nhập lại bằng tài khoản đó</t>
  </si>
  <si>
    <t>Tài khoản thấy giao diện TCH</t>
  </si>
  <si>
    <t>QL-008</t>
  </si>
  <si>
    <t>Lọc / tìm kiếm NV</t>
  </si>
  <si>
    <t>1. Lọc theo cửa hàng, vai trò, trạng thái
2. Tìm theo tên / mã</t>
  </si>
  <si>
    <t>Kết quả đúng</t>
  </si>
  <si>
    <t>QL-009</t>
  </si>
  <si>
    <t>Quản lý cửa hàng</t>
  </si>
  <si>
    <t>Tạo cửa hàng mặc định OPENING</t>
  </si>
  <si>
    <t>1. Thêm cửa hàng
2. Nhập thông tin
3. Lưu</t>
  </si>
  <si>
    <t>Form tạo không có ô trạng thái; cửa hàng tạo với trạng thái OPENING</t>
  </si>
  <si>
    <t>QL-010</t>
  </si>
  <si>
    <t>Đổi trạng thái sang CLOSED</t>
  </si>
  <si>
    <t>1. Sửa cửa hàng
2. Chọn CLOSED – Đã đóng
3. Lưu</t>
  </si>
  <si>
    <t>Trạng thái CLOSED; lọc 'Đã đóng (CLOSED)' thấy cửa hàng</t>
  </si>
  <si>
    <t>QL-011</t>
  </si>
  <si>
    <t>Trạng thái khác OPENING / CLOSED (qua API)</t>
  </si>
  <si>
    <t>1. Gọi API cập nhật status = ACTIVE</t>
  </si>
  <si>
    <t>Báo 'Trạng thái cửa hàng chỉ là OPENING hoặc CLOSED'</t>
  </si>
  <si>
    <t>QL-012</t>
  </si>
  <si>
    <t>Xóa</t>
  </si>
  <si>
    <t>Không có chức năng xóa</t>
  </si>
  <si>
    <t>1. Tìm nút Xóa trên UI
2. Gọi API xóa cửa hàng</t>
  </si>
  <si>
    <t>Không có nút xóa; API báo 'Không thể xóa cửa hàng – hãy chuyển trạng thái sang CLOSED nếu cửa hàng ngừng hoạt động'</t>
  </si>
  <si>
    <t>QL-013</t>
  </si>
  <si>
    <t>Chi tiết</t>
  </si>
  <si>
    <t>Popup chi tiết cửa hàng</t>
  </si>
  <si>
    <t>1. Bấm vào thẻ hoặc dòng bảng cửa hàng</t>
  </si>
  <si>
    <t>Popup hiện đủ field, ảnh, danh sách NV (có tìm kiếm, đánh dấu TRƯỞNG CỬA HÀNG)</t>
  </si>
  <si>
    <t>QL-014</t>
  </si>
  <si>
    <t>Dữ liệu cũ</t>
  </si>
  <si>
    <t>Dữ liệu cũ hiển thị trạng thái mới</t>
  </si>
  <si>
    <t>Đã chạy migration_store_account.sql</t>
  </si>
  <si>
    <t>1. Xem cửa hàng từng là ACTIVE / INACTIVE</t>
  </si>
  <si>
    <t>Hiển thị OPENING / CLOSED</t>
  </si>
  <si>
    <t>QL-015</t>
  </si>
  <si>
    <t>Chấm công</t>
  </si>
  <si>
    <t>Thêm chấm công thủ công</t>
  </si>
  <si>
    <t>1. Mở Quản lý chấm công
2. Thêm thủ công
3. Chọn NV, ca, check-in / check-out
4. Lưu chấm công</t>
  </si>
  <si>
    <t>Bản ghi mới; giờ làm (worked_hours) tính đúng</t>
  </si>
  <si>
    <t>QL-016</t>
  </si>
  <si>
    <t>Check-out</t>
  </si>
  <si>
    <t>Check-out NV đang chờ</t>
  </si>
  <si>
    <t>Bản ghi 'Chờ check-out'</t>
  </si>
  <si>
    <t>1. Bấm Check-out</t>
  </si>
  <si>
    <t>Ghi nhận giờ ra; giờ làm cập nhật</t>
  </si>
  <si>
    <t>QL-017</t>
  </si>
  <si>
    <t>Check-out trước check-in</t>
  </si>
  <si>
    <t>1. Nhập giờ ra sớm hơn giờ vào
2. Lưu</t>
  </si>
  <si>
    <t>Báo lỗi '... kết thúc không được trước thời điểm bắt đầu'</t>
  </si>
  <si>
    <t>QL-018</t>
  </si>
  <si>
    <t>1. Lọc Có mặt / Đi muộn / Vắng</t>
  </si>
  <si>
    <t>Đúng; thẻ thống kê khớp</t>
  </si>
  <si>
    <t>QL-019</t>
  </si>
  <si>
    <t>Sửa / Xóa</t>
  </si>
  <si>
    <t>Sửa và xóa bản ghi chấm công</t>
  </si>
  <si>
    <t>1. Chỉnh sửa 1 bản ghi
2. Xóa 1 bản ghi (xác nhận)</t>
  </si>
  <si>
    <t>Cập nhật / xóa thành công</t>
  </si>
  <si>
    <t>QL-020</t>
  </si>
  <si>
    <t>Quản lý lịch ca</t>
  </si>
  <si>
    <t>Thứ tự tab</t>
  </si>
  <si>
    <t>1. Mở Quản lý lịch ca</t>
  </si>
  <si>
    <t>Tab theo thứ tự: Kỳ, Nhóm ca, Thời khóa biểu, Sự kiện, Cấu hình; không còn tab Khẩn cấp</t>
  </si>
  <si>
    <t>QL-021</t>
  </si>
  <si>
    <t>Kỳ đăng ký</t>
  </si>
  <si>
    <t>Tạo</t>
  </si>
  <si>
    <t>Tạo kỳ hợp lệ</t>
  </si>
  <si>
    <t>1. Tab Kỳ
2. Thêm
3. Nhập tên, ngày bắt đầu / kết thúc, mở / đóng đăng ký
4. Lưu</t>
  </si>
  <si>
    <t>Kỳ được tạo</t>
  </si>
  <si>
    <t>QL-022</t>
  </si>
  <si>
    <t>Thiếu thời gian mở / đóng đăng ký</t>
  </si>
  <si>
    <t>1. Chỉ nhập 1 trong 2
2. Lưu</t>
  </si>
  <si>
    <t>Báo 'Cần nhập cả thời gian Mở đăng ký và Đóng đăng ký'</t>
  </si>
  <si>
    <t>QL-023</t>
  </si>
  <si>
    <t>Đóng đăng ký trước mở đăng ký</t>
  </si>
  <si>
    <t>1. Đóng = Mở − 1 ngày
2. Lưu</t>
  </si>
  <si>
    <t>Báo 'Thời gian Đóng đăng ký phải sau thời gian Mở đăng ký'</t>
  </si>
  <si>
    <t>QL-024</t>
  </si>
  <si>
    <t>Ngày kết thúc trước ngày bắt đầu</t>
  </si>
  <si>
    <t>1. Ngày kết thúc &lt; ngày bắt đầu
2. Lưu</t>
  </si>
  <si>
    <t>Báo 'Ngày kết thúc phải sau ngày bắt đầu'</t>
  </si>
  <si>
    <t>QL-025</t>
  </si>
  <si>
    <t>Chuyển trạng thái kỳ</t>
  </si>
  <si>
    <t>1. Chuyển DRAFT → OPEN → FINALIZED; thử CANCELLED</t>
  </si>
  <si>
    <t>Chỉ nhận DRAFT / OPEN / CANCELLED / FINALIZED; NV chỉ đăng ký được khi OPEN</t>
  </si>
  <si>
    <t>QL-026</t>
  </si>
  <si>
    <t>Nhóm ca</t>
  </si>
  <si>
    <t>Thành viên</t>
  </si>
  <si>
    <t>Thêm / gỡ thành viên nhóm ca</t>
  </si>
  <si>
    <t>1. Mở nhóm ca
2. Thêm NV
3. Gỡ NV</t>
  </si>
  <si>
    <t>Danh sách thành viên cập nhật; NV mới đăng ký được ca nhóm đó</t>
  </si>
  <si>
    <t>QL-027</t>
  </si>
  <si>
    <t>Ca mẫu</t>
  </si>
  <si>
    <t>Min &gt; Max</t>
  </si>
  <si>
    <t>1. Sửa ca mẫu min = 5, max = 3
2. Lưu</t>
  </si>
  <si>
    <t>Báo 'Số lượng tối thiểu không được lớn hơn tối đa'</t>
  </si>
  <si>
    <t>QL-028</t>
  </si>
  <si>
    <t>Min / Max âm</t>
  </si>
  <si>
    <t>1. Nhập min = -1
2. Lưu</t>
  </si>
  <si>
    <t>Báo 'Số lượng tối thiểu / tối đa không được âm'</t>
  </si>
  <si>
    <t>QL-029</t>
  </si>
  <si>
    <t>Thời khóa biểu</t>
  </si>
  <si>
    <t>Màu theo nhóm ca và khung giờ</t>
  </si>
  <si>
    <t>Có nhiều nhóm ca</t>
  </si>
  <si>
    <t>1. Xem TKB tuần, tháng, danh sách</t>
  </si>
  <si>
    <t>Mỗi nhóm một họ màu, Sáng nhạt → Trưa vừa → Tối đậm (Linh hoạt xanh lam, Cố định vàng...); có chú thích màu</t>
  </si>
  <si>
    <t>QL-030</t>
  </si>
  <si>
    <t>Thêm ca theo ngày</t>
  </si>
  <si>
    <t>Thêm ca theo trình tự Kỳ → Đợt → Phiên → Ca mẫu</t>
  </si>
  <si>
    <t>1. Bấm thêm ca
2. Chọn Kỳ, Đợt, Phiên, Ca mẫu
3. Chọn ngày
4. Lưu</t>
  </si>
  <si>
    <t>Đợt lọc theo kỳ + cửa hàng, phiên theo đợt, ca mẫu theo cửa hàng / nhóm ca; tên ca, giờ tự điền; ca xuất hiện trên TKB</t>
  </si>
  <si>
    <t>QL-031</t>
  </si>
  <si>
    <t>1. Bỏ trống Kỳ / Đợt / Ca mẫu
2. Lưu</t>
  </si>
  <si>
    <t>Không lưu được; đơn giá, số người tối đa, ghi chú được phép trống</t>
  </si>
  <si>
    <t>QL-032</t>
  </si>
  <si>
    <t>Ngày làm ngoài kỳ</t>
  </si>
  <si>
    <t>1. Chọn ngày ngoài khoảng của kỳ</t>
  </si>
  <si>
    <t>Không chọn được ngày ngoài kỳ</t>
  </si>
  <si>
    <t>QL-033</t>
  </si>
  <si>
    <t>Danh sách yêu cầu gồm cả đặt lịch khẩn</t>
  </si>
  <si>
    <t>Có yêu cầu đổi ca</t>
  </si>
  <si>
    <t>1. Mở 'Danh sách yêu cầu'</t>
  </si>
  <si>
    <t>Tên là 'Danh sách yêu cầu'; yêu cầu đổi ca hiện 'đổi với ...'</t>
  </si>
  <si>
    <t>QL-034</t>
  </si>
  <si>
    <t>Cấu hình</t>
  </si>
  <si>
    <t>Min / Max</t>
  </si>
  <si>
    <t>Sửa min / max từng dòng</t>
  </si>
  <si>
    <t>1. Tab Cấu hình
2. Sửa min / max 1 khung giờ
3. Lưu</t>
  </si>
  <si>
    <t>Lưu thành công</t>
  </si>
  <si>
    <t>QL-035</t>
  </si>
  <si>
    <t>Điền cho tất cả</t>
  </si>
  <si>
    <t>1. Nhập min / max
2. Bấm 'Điền cho tất cả'
3. Lưu</t>
  </si>
  <si>
    <t>Mọi khung giờ cập nhật</t>
  </si>
  <si>
    <t>QL-036</t>
  </si>
  <si>
    <t>Min &gt; Max khi điền tất cả</t>
  </si>
  <si>
    <t>1. Nhập min 5, max 2
2. Điền cho tất cả
3. Lưu</t>
  </si>
  <si>
    <t>QL-037</t>
  </si>
  <si>
    <t>Sự kiện đặc biệt</t>
  </si>
  <si>
    <t>CRUD</t>
  </si>
  <si>
    <t>Thêm / sửa / xóa sự kiện</t>
  </si>
  <si>
    <t>1. Tab Sự kiện
2. Thêm
3. Sửa
4. Xóa</t>
  </si>
  <si>
    <t>Thao tác thành công</t>
  </si>
  <si>
    <t>QL-038</t>
  </si>
  <si>
    <t>Xử lý yêu cầu</t>
  </si>
  <si>
    <t>Yêu cầu khẩn</t>
  </si>
  <si>
    <t>Duyệt / từ chối yêu cầu khẩn toàn chuỗi</t>
  </si>
  <si>
    <t>Có yêu cầu ở nhiều cửa hàng</t>
  </si>
  <si>
    <t>1. Mở Xử lý yêu cầu
2. Duyệt / từ chối</t>
  </si>
  <si>
    <t>Thấy yêu cầu mọi cửa hàng; kết quả áp dụng vào lịch</t>
  </si>
  <si>
    <t>QL-039</t>
  </si>
  <si>
    <t>Quản lý phân bổ NV vào ca</t>
  </si>
  <si>
    <t>1. Giống TCH nhưng trên mọi cửa hàng</t>
  </si>
  <si>
    <t>Chặn sai nhóm, trùng người, vượt max; cho vượt min</t>
  </si>
  <si>
    <t>QL-040</t>
  </si>
  <si>
    <t>Nội quy &amp; vi phạm</t>
  </si>
  <si>
    <t>Quy định</t>
  </si>
  <si>
    <t>Thêm / sửa / xóa quy định</t>
  </si>
  <si>
    <t>1. Thêm quy định (tên, mức phạt)
2. Sửa
3. Xóa</t>
  </si>
  <si>
    <t>QL-041</t>
  </si>
  <si>
    <t>Vi phạm</t>
  </si>
  <si>
    <t>Ghi nhận vi phạm theo NV</t>
  </si>
  <si>
    <t>1. Thêm vi phạm
2. Lọc theo trạng thái
3. Tìm theo NV</t>
  </si>
  <si>
    <t>Danh sách vi phạm đúng theo NV</t>
  </si>
  <si>
    <t>QL-042</t>
  </si>
  <si>
    <t>Lương &amp; thưởng</t>
  </si>
  <si>
    <t>Bản ghi thưởng</t>
  </si>
  <si>
    <t>Tạo bản ghi thưởng + chi tiết</t>
  </si>
  <si>
    <t>1. Thêm bản ghi
2. Thêm chi tiết thưởng / phạt
3. Lưu</t>
  </si>
  <si>
    <t>Tổng thưởng, Tổng phạt, Tổng tiền tính đúng</t>
  </si>
  <si>
    <t>QL-043</t>
  </si>
  <si>
    <t>Duyệt</t>
  </si>
  <si>
    <t>Duyệt phiếu thưởng</t>
  </si>
  <si>
    <t>Bản ghi Chờ duyệt</t>
  </si>
  <si>
    <t>Trạng thái Đã duyệt; NV thấy ở Thống kê</t>
  </si>
  <si>
    <t>QL-044</t>
  </si>
  <si>
    <t>Kỷ luật</t>
  </si>
  <si>
    <t>Thêm hồ sơ kỷ luật</t>
  </si>
  <si>
    <t>1. Thêm hồ sơ kỷ luật
2. Lưu</t>
  </si>
  <si>
    <t>Hồ sơ hiện trong danh sách</t>
  </si>
  <si>
    <t>QL-045</t>
  </si>
  <si>
    <t>Toàn chuỗi</t>
  </si>
  <si>
    <t>Xem thống kê toàn chuỗi</t>
  </si>
  <si>
    <t>1. Mở Thống kê &amp; báo cáo</t>
  </si>
  <si>
    <t>Hiện nhân sự, giờ làm, tiền công, chuyên cần, vi phạm, theo cửa hàng, top 5 chuyên cần</t>
  </si>
  <si>
    <t>QL-046</t>
  </si>
  <si>
    <t>Khoảng thời gian &gt; 1 năm</t>
  </si>
  <si>
    <t>1. Chọn khoảng 13 tháng</t>
  </si>
  <si>
    <t>Báo 'Khoảng thời gian thống kê tối đa 1 năm'</t>
  </si>
  <si>
    <t>QL-047</t>
  </si>
  <si>
    <t>Gửi</t>
  </si>
  <si>
    <t>Phát thông báo tới cửa hàng</t>
  </si>
  <si>
    <t>1. Mở Phát thông báo
2. Nhập tiêu đề, nội dung
3. Chọn đối tượng, mức ưu tiên
4. Gửi</t>
  </si>
  <si>
    <t>Người nhận thấy ở chuông; người gửi không nhận; hiện trong 'Thông báo đã phát gần đây'</t>
  </si>
  <si>
    <t>QL-048</t>
  </si>
  <si>
    <t>Thiếu tiêu đề / nội dung</t>
  </si>
  <si>
    <t>1. Để trống
2. Gửi</t>
  </si>
  <si>
    <t>Báo 'Vui lòng nhập tiêu đề và nội dung thông báo'</t>
  </si>
  <si>
    <t>QL-049</t>
  </si>
  <si>
    <t>Tiêu đề 256 ký tự</t>
  </si>
  <si>
    <t>1. Nhập tiêu đề 256 ký tự
2. Gửi</t>
  </si>
  <si>
    <t>Báo 'Tiêu đề tối đa 255 ký tự' (255 ký tự thì hợp lệ)</t>
  </si>
  <si>
    <t>QL-050</t>
  </si>
  <si>
    <t>Đối tượng không có NV</t>
  </si>
  <si>
    <t>Cửa hàng chưa có NV</t>
  </si>
  <si>
    <t>1. Chọn cửa hàng đó
2. Gửi</t>
  </si>
  <si>
    <t>Báo 'Không có nhân viên nào thuộc đối tượng đã chọn'</t>
  </si>
  <si>
    <t>QL-051</t>
  </si>
  <si>
    <t>Mẫu</t>
  </si>
  <si>
    <t>Dùng mẫu soạn nhanh</t>
  </si>
  <si>
    <t>1. Bấm 1 mẫu</t>
  </si>
  <si>
    <t>Điền sẵn tiêu đề, nội dung, mức độ ưu tiên</t>
  </si>
  <si>
    <t>QL-052</t>
  </si>
  <si>
    <t>Tạo bài test toàn chuỗi</t>
  </si>
  <si>
    <t>1. Tạo bài, câu hỏi
2. Mở bài
3. Giao theo NV / TCH</t>
  </si>
  <si>
    <t>Số liệu Tổng bài test / Đang mở / Bản nháp đúng; người được giao nhận bài</t>
  </si>
  <si>
    <t>AD-001</t>
  </si>
  <si>
    <t>Quản lý tài khoản</t>
  </si>
  <si>
    <t>Xem danh sách tài khoản</t>
  </si>
  <si>
    <t>Đăng nhập Admin</t>
  </si>
  <si>
    <t>1. Mở Quản lý tài khoản</t>
  </si>
  <si>
    <t>Hiện danh sách, vai trò, trạng thái; lọc / tìm kiếm được</t>
  </si>
  <si>
    <t>AD-002</t>
  </si>
  <si>
    <t>Phân quyền</t>
  </si>
  <si>
    <t>Đổi vai trò user thường</t>
  </si>
  <si>
    <t>1. Sửa tài khoản NV
2. Đổi vai trò
3. Lưu
4. Đăng nhập lại tài khoản đó</t>
  </si>
  <si>
    <t>Vai trò mới có hiệu lực</t>
  </si>
  <si>
    <t>AD-003</t>
  </si>
  <si>
    <t>Khóa</t>
  </si>
  <si>
    <t>Khóa / mở khóa tài khoản</t>
  </si>
  <si>
    <t>1. Khóa tài khoản NV
2. Thử đăng nhập NV
3. Mở khóa
4. Đăng nhập lại</t>
  </si>
  <si>
    <t>Bị khóa không đăng nhập được; mở khóa đăng nhập lại được</t>
  </si>
  <si>
    <t>AD-004</t>
  </si>
  <si>
    <t>Không chỉnh quyền / khóa tài khoản admin trên UI</t>
  </si>
  <si>
    <t>1. Mở sửa tài khoản admin</t>
  </si>
  <si>
    <t>Ô vai trò và trạng thái bị khóa; luôn 'hoạt động'</t>
  </si>
  <si>
    <t>AD-005</t>
  </si>
  <si>
    <t>Chặn chỉnh quyền admin qua API</t>
  </si>
  <si>
    <t>1. Gọi API gán / gỡ vai trò cho admin</t>
  </si>
  <si>
    <t>Báo 'Không thể chỉnh quyền của tài khoản admin'</t>
  </si>
  <si>
    <t>AD-006</t>
  </si>
  <si>
    <t>Chặn khóa admin qua API</t>
  </si>
  <si>
    <t>1. Gọi API đổi trạng thái admin = khóa</t>
  </si>
  <si>
    <t>Báo 'Tài khoản admin luôn hoạt động, không thể khóa'</t>
  </si>
  <si>
    <t>AD-007</t>
  </si>
  <si>
    <t>Không có chức năng xóa tài khoản</t>
  </si>
  <si>
    <t>1. Tìm nút Xóa
2. Gọi API xóa user</t>
  </si>
  <si>
    <t>Không có nút xóa; API báo 'Hệ thống không có chức năng xóa tài khoản – hãy khóa tài khoản nếu cần ngừng sử dụng'</t>
  </si>
  <si>
    <t>AD-008</t>
  </si>
  <si>
    <t>Quản lý cuối</t>
  </si>
  <si>
    <t>Không khóa được quản lý hoạt động cuối cùng</t>
  </si>
  <si>
    <t>Chỉ còn 1 tài khoản Quản lý hoạt động</t>
  </si>
  <si>
    <t>1. Khóa tài khoản đó</t>
  </si>
  <si>
    <t>Báo 'Phải luôn có ít nhất 1 tài khoản quản lý đang hoạt động – không thể khóa quản lý cuối cùng'</t>
  </si>
  <si>
    <t>AD-009</t>
  </si>
  <si>
    <t>Không gỡ quyền quản lý cuối cùng</t>
  </si>
  <si>
    <t>Chỉ còn 1 Quản lý</t>
  </si>
  <si>
    <t>1. Đổi vai trò Quản lý đó sang NV</t>
  </si>
  <si>
    <t>Báo '... không thể gỡ quyền quản lý cuối cùng'; tài khoản KHÔNG bị gán thêm vai trò mới</t>
  </si>
  <si>
    <t>AD-010</t>
  </si>
  <si>
    <t>Khóa được quản lý khi còn ≥2</t>
  </si>
  <si>
    <t>Có 2 Quản lý hoạt động</t>
  </si>
  <si>
    <t>1. Khóa 1 Quản lý</t>
  </si>
  <si>
    <t>Khóa thành công</t>
  </si>
  <si>
    <t>AD-011</t>
  </si>
  <si>
    <t>Chuỗi cửa hàng / thương hiệu</t>
  </si>
  <si>
    <t>Đổi logo, màu sắc</t>
  </si>
  <si>
    <t>1. Mở Quản lý chuỗi cửa hàng
2. Đổi logo, màu
3. Xem preview
4. Lưu cài đặt thương hiệu
5. Tải lại</t>
  </si>
  <si>
    <t>Preview đúng; giao diện áp dụng sau khi lưu</t>
  </si>
  <si>
    <t>AD-012</t>
  </si>
  <si>
    <t>Khôi phục mặc định</t>
  </si>
  <si>
    <t>1. Bấm Khôi phục mặc định</t>
  </si>
  <si>
    <t>Trở về logo, màu mặc định</t>
  </si>
  <si>
    <t>AD-013</t>
  </si>
  <si>
    <t>Quản lý API</t>
  </si>
  <si>
    <t>Endpoints</t>
  </si>
  <si>
    <t>Xem danh sách endpoint</t>
  </si>
  <si>
    <t>1. Mở Quản lý API
2. Tab Endpoints</t>
  </si>
  <si>
    <t>Liệt kê endpoint</t>
  </si>
  <si>
    <t>AD-014</t>
  </si>
  <si>
    <t>Phân quyền API</t>
  </si>
  <si>
    <t>Gỡ quyền endpoint khỏi vai trò</t>
  </si>
  <si>
    <t>1. Gỡ quyền 1 endpoint khỏi vai trò NV
2. Đăng nhập NV, dùng chức năng đó</t>
  </si>
  <si>
    <t>Báo 403 'Bạn không có quyền truy cập endpoint này.'</t>
  </si>
  <si>
    <t>AD-015</t>
  </si>
  <si>
    <t>Gán lại quyền endpoint</t>
  </si>
  <si>
    <t>1. Gán lại quyền vừa gỡ
2. NV thử lại</t>
  </si>
  <si>
    <t>NV dùng lại được</t>
  </si>
  <si>
    <t>AD-016</t>
  </si>
  <si>
    <t>Sinh mã tự động</t>
  </si>
  <si>
    <t>Lưu quy tắc sinh mã</t>
  </si>
  <si>
    <t>1. Nhập tiền tố, chèn Năm / Tháng, dấu phân cách, số chữ số, chu kỳ reset
2. Xem mã mẫu
3. Lưu
4. Tạo NV mới</t>
  </si>
  <si>
    <t>Mã mẫu đúng định dạng; mã NV mới sinh theo quy tắc</t>
  </si>
  <si>
    <t>AD-017</t>
  </si>
  <si>
    <t>Thông báo &amp; Email</t>
  </si>
  <si>
    <t>SMTP</t>
  </si>
  <si>
    <t>Cấu hình SMTP</t>
  </si>
  <si>
    <t>1. Nhập thông tin SMTP
2. Lưu
3. Gửi thử</t>
  </si>
  <si>
    <t>Lưu thành công; email thử gửi được</t>
  </si>
  <si>
    <t>AD-018</t>
  </si>
  <si>
    <t>Sửa mẫu thông báo / email</t>
  </si>
  <si>
    <t>1. Sửa mẫu, chèn biến
2. Lưu</t>
  </si>
  <si>
    <t>AD-019</t>
  </si>
  <si>
    <t>Phản hồi</t>
  </si>
  <si>
    <t>Admin xử lý phản hồi Hệ thống</t>
  </si>
  <si>
    <t>Có phản hồi Hệ thống</t>
  </si>
  <si>
    <t>1. Mở Phản hồi
2. Chuyển trạng thái kèm ghi chú</t>
  </si>
  <si>
    <t>Áp dụng đúng luồng trạng thái (xem sheet Chung - Phản hồi)</t>
  </si>
  <si>
    <t>SEC-001</t>
  </si>
  <si>
    <t>Trang</t>
  </si>
  <si>
    <t>NV truy cập trang của vai trò khác</t>
  </si>
  <si>
    <t>1. Đổi URL / tab sang trang Quản lý hoặc Admin</t>
  </si>
  <si>
    <t>Không vào được; không hiện dữ liệu</t>
  </si>
  <si>
    <t>SEC-002</t>
  </si>
  <si>
    <t>API</t>
  </si>
  <si>
    <t>Gọi API không có token</t>
  </si>
  <si>
    <t>1. Gọi API bất kỳ không có header Authorization</t>
  </si>
  <si>
    <t>401 'Token không hợp lệ ...'</t>
  </si>
  <si>
    <t>SEC-003</t>
  </si>
  <si>
    <t>NV gọi API quản lý</t>
  </si>
  <si>
    <t>Token NV</t>
  </si>
  <si>
    <t>1. Gọi API tạo cửa hàng / kỳ đăng ký</t>
  </si>
  <si>
    <t>403 'Bạn không có quyền truy cập endpoint này.'</t>
  </si>
  <si>
    <t>SEC-004</t>
  </si>
  <si>
    <t>Dữ liệu cá nhân</t>
  </si>
  <si>
    <t>NV xem yêu cầu của người khác</t>
  </si>
  <si>
    <t>Token NV A</t>
  </si>
  <si>
    <t>1. GET yêu cầu khẩn của NV B</t>
  </si>
  <si>
    <t>403 'Bạn chỉ được xem yêu cầu của mình'</t>
  </si>
  <si>
    <t>SEC-005</t>
  </si>
  <si>
    <t>NV đăng ký ca cho người khác</t>
  </si>
  <si>
    <t>1. POST đăng ký ca với employeeId của B</t>
  </si>
  <si>
    <t>403 'Bạn chỉ được đăng ký ca cho mình'</t>
  </si>
  <si>
    <t>SEC-006</t>
  </si>
  <si>
    <t>NV thao tác đăng ký ca của người khác</t>
  </si>
  <si>
    <t>1. Bỏ đăng ký ca của B</t>
  </si>
  <si>
    <t>403 'Bạn chỉ được thao tác trên đăng ký ca của mình'</t>
  </si>
  <si>
    <t>SEC-007</t>
  </si>
  <si>
    <t>NV xem hồ sơ / chấm công / kết quả test của người khác</t>
  </si>
  <si>
    <t>1. Gọi API với id của B</t>
  </si>
  <si>
    <t>403 'Bạn chỉ được xem hồ sơ của mình' / '... chấm công của mình' / '... kết quả của mình'</t>
  </si>
  <si>
    <t>SEC-008</t>
  </si>
  <si>
    <t>NV đổi / hủy ca không phải của mình</t>
  </si>
  <si>
    <t>1. Gửi đặt lịch khẩn với ca hiện tại của B</t>
  </si>
  <si>
    <t>403 'Ca này không phải của bạn'</t>
  </si>
  <si>
    <t>SEC-009</t>
  </si>
  <si>
    <t>Phạm vi cửa hàng</t>
  </si>
  <si>
    <t>TCH xem dữ liệu cửa hàng khác</t>
  </si>
  <si>
    <t>Token TCH cửa hàng A</t>
  </si>
  <si>
    <t>1. Gọi API lịch / nhân sự / thống kê cửa hàng B</t>
  </si>
  <si>
    <t>403 'Bạn không có quyền truy cập dữ liệu cửa hàng này' / '... xem thống kê cửa hàng này'</t>
  </si>
  <si>
    <t>SEC-010</t>
  </si>
  <si>
    <t>TCH xem thống kê toàn chuỗi</t>
  </si>
  <si>
    <t>Token TCH</t>
  </si>
  <si>
    <t>1. Gọi API thống kê toàn chuỗi</t>
  </si>
  <si>
    <t>403 'Chỉ quản lý chuỗi mới xem được thống kê toàn chuỗi'</t>
  </si>
  <si>
    <t>SEC-011</t>
  </si>
  <si>
    <t>Endpoint mới</t>
  </si>
  <si>
    <t>Endpoint mới đã được cấp quyền</t>
  </si>
  <si>
    <t>Đã chạy migration_quan_ly_ca.sql</t>
  </si>
  <si>
    <t>1. Mọi vai trò gọi GET /api/v1/notification/me/tasks</t>
  </si>
  <si>
    <t>200 với mọi vai trò</t>
  </si>
  <si>
    <t>SEC-012</t>
  </si>
  <si>
    <t>Bảo mật</t>
  </si>
  <si>
    <t>Nhập liệu</t>
  </si>
  <si>
    <t>Chèn script / HTML vào ô nhập</t>
  </si>
  <si>
    <t>1. Nhập &lt;script&gt;alert(1)&lt;/script&gt; vào nội dung phản hồi, tên công việc
2. Lưu
3. Mở lại</t>
  </si>
  <si>
    <t>Hiển thị như văn bản, không thực thi script</t>
  </si>
  <si>
    <t>SEC-013</t>
  </si>
  <si>
    <t>Chuỗi dài / ký tự đặc biệt / tiếng Việt có dấu</t>
  </si>
  <si>
    <t>1. Nhập 5000 ký tự, emoji, tiếng Việt có dấu
2. Lưu</t>
  </si>
  <si>
    <t>Không lỗi 500; hiển thị đúng hoặc báo lỗi độ dài rõ ràng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</si>
</sst>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4E78"/>
      <name val="Arial"/>
    </font>
    <font>
      <b/>
      <sz val="10"/>
      <name val="Arial"/>
    </font>
    <font>
      <i/>
      <sz val="9"/>
      <color rgb="FF808080"/>
      <name val="Arial"/>
    </font>
    <font>
      <b/>
      <sz val="12"/>
      <color rgb="FF1F4E78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2" fillId="3" borderId="0" xfId="0" applyFont="1" applyFill="1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40"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C00000"/>
        <name val="Arial"/>
      </font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C00000"/>
        <name val="Arial"/>
      </font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C00000"/>
        <name val="Arial"/>
      </font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C00000"/>
        <name val="Arial"/>
      </font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C00000"/>
        <name val="Arial"/>
      </font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C00000"/>
        <name val="Arial"/>
      </font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C00000"/>
        <name val="Arial"/>
      </font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C0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5" workbookViewId="0"/>
  </sheetViews>
  <sheetFormatPr defaultRowHeight="14.4" x14ac:dyDescent="0.3"/>
  <cols>
    <col min="1" max="1" width="26" customWidth="1"/>
    <col min="2" max="2" width="95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  <c r="B2" s="3" t="s">
        <v>2</v>
      </c>
    </row>
    <row r="3" spans="1:2" ht="26.4" x14ac:dyDescent="0.3">
      <c r="A3" s="2" t="s">
        <v>3</v>
      </c>
      <c r="B3" s="3" t="s">
        <v>4</v>
      </c>
    </row>
    <row r="4" spans="1:2" x14ac:dyDescent="0.3">
      <c r="A4" s="2"/>
      <c r="B4" s="3"/>
    </row>
    <row r="5" spans="1:2" ht="15.6" x14ac:dyDescent="0.3">
      <c r="A5" s="4" t="s">
        <v>5</v>
      </c>
    </row>
    <row r="6" spans="1:2" x14ac:dyDescent="0.3">
      <c r="A6" s="2" t="s">
        <v>6</v>
      </c>
      <c r="B6" s="5" t="s">
        <v>7</v>
      </c>
    </row>
    <row r="7" spans="1:2" x14ac:dyDescent="0.3">
      <c r="A7" s="2" t="s">
        <v>8</v>
      </c>
      <c r="B7" s="3" t="s">
        <v>9</v>
      </c>
    </row>
    <row r="8" spans="1:2" ht="26.4" x14ac:dyDescent="0.3">
      <c r="A8" s="2" t="s">
        <v>10</v>
      </c>
      <c r="B8" s="3" t="s">
        <v>11</v>
      </c>
    </row>
    <row r="9" spans="1:2" x14ac:dyDescent="0.3">
      <c r="A9" s="2" t="s">
        <v>12</v>
      </c>
      <c r="B9" s="3" t="s">
        <v>13</v>
      </c>
    </row>
    <row r="10" spans="1:2" x14ac:dyDescent="0.3">
      <c r="A10" s="2" t="s">
        <v>14</v>
      </c>
      <c r="B10" s="3" t="s">
        <v>15</v>
      </c>
    </row>
    <row r="11" spans="1:2" x14ac:dyDescent="0.3">
      <c r="A11" s="2" t="s">
        <v>16</v>
      </c>
      <c r="B11" s="3" t="s">
        <v>17</v>
      </c>
    </row>
    <row r="12" spans="1:2" ht="26.4" x14ac:dyDescent="0.3">
      <c r="A12" s="2" t="s">
        <v>18</v>
      </c>
      <c r="B12" s="3" t="s">
        <v>19</v>
      </c>
    </row>
    <row r="13" spans="1:2" x14ac:dyDescent="0.3">
      <c r="A13" s="2"/>
      <c r="B13" s="3"/>
    </row>
    <row r="14" spans="1:2" ht="15.6" x14ac:dyDescent="0.3">
      <c r="A14" s="4" t="s">
        <v>20</v>
      </c>
    </row>
    <row r="15" spans="1:2" ht="26.4" x14ac:dyDescent="0.3">
      <c r="A15" s="2" t="s">
        <v>21</v>
      </c>
      <c r="B15" s="3" t="s">
        <v>22</v>
      </c>
    </row>
    <row r="16" spans="1:2" ht="26.4" x14ac:dyDescent="0.3">
      <c r="A16" s="2" t="s">
        <v>23</v>
      </c>
      <c r="B16" s="3" t="s">
        <v>24</v>
      </c>
    </row>
    <row r="17" spans="1:2" ht="26.4" x14ac:dyDescent="0.3">
      <c r="A17" s="2" t="s">
        <v>25</v>
      </c>
      <c r="B17" s="3" t="s">
        <v>26</v>
      </c>
    </row>
    <row r="18" spans="1:2" x14ac:dyDescent="0.3">
      <c r="A18" s="2" t="s">
        <v>27</v>
      </c>
      <c r="B18" s="3" t="s">
        <v>28</v>
      </c>
    </row>
    <row r="19" spans="1:2" x14ac:dyDescent="0.3">
      <c r="A19" s="2"/>
      <c r="B19" s="3"/>
    </row>
    <row r="20" spans="1:2" ht="15.6" x14ac:dyDescent="0.3">
      <c r="A20" s="4" t="s">
        <v>29</v>
      </c>
    </row>
    <row r="21" spans="1:2" x14ac:dyDescent="0.3">
      <c r="A21" s="2" t="s">
        <v>30</v>
      </c>
      <c r="B21" s="3" t="s">
        <v>31</v>
      </c>
    </row>
    <row r="22" spans="1:2" x14ac:dyDescent="0.3">
      <c r="A22" s="2" t="s">
        <v>32</v>
      </c>
      <c r="B22" s="3" t="s">
        <v>33</v>
      </c>
    </row>
    <row r="23" spans="1:2" x14ac:dyDescent="0.3">
      <c r="A23" s="2" t="s">
        <v>34</v>
      </c>
      <c r="B23" s="3" t="s">
        <v>35</v>
      </c>
    </row>
    <row r="24" spans="1:2" x14ac:dyDescent="0.3">
      <c r="A24" s="2" t="s">
        <v>36</v>
      </c>
      <c r="B24" s="3" t="s">
        <v>37</v>
      </c>
    </row>
    <row r="25" spans="1:2" x14ac:dyDescent="0.3">
      <c r="A25" s="2" t="s">
        <v>38</v>
      </c>
      <c r="B25" s="3" t="s">
        <v>39</v>
      </c>
    </row>
    <row r="26" spans="1:2" x14ac:dyDescent="0.3">
      <c r="A26" s="2" t="s">
        <v>40</v>
      </c>
      <c r="B26" s="3" t="s">
        <v>41</v>
      </c>
    </row>
    <row r="27" spans="1:2" x14ac:dyDescent="0.3">
      <c r="A27" s="2" t="s">
        <v>42</v>
      </c>
      <c r="B27" s="3" t="s">
        <v>43</v>
      </c>
    </row>
    <row r="28" spans="1:2" x14ac:dyDescent="0.3">
      <c r="A28" s="2" t="s">
        <v>44</v>
      </c>
      <c r="B28" s="3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>
      <selection activeCell="C7" sqref="C7"/>
    </sheetView>
  </sheetViews>
  <sheetFormatPr defaultRowHeight="14.4" x14ac:dyDescent="0.3"/>
  <cols>
    <col min="1" max="1" width="26" customWidth="1"/>
    <col min="2" max="2" width="10" customWidth="1"/>
    <col min="3" max="4" width="9" customWidth="1"/>
    <col min="5" max="6" width="10" customWidth="1"/>
    <col min="7" max="7" width="12" customWidth="1"/>
    <col min="8" max="8" width="20" customWidth="1"/>
    <col min="9" max="9" width="15" customWidth="1"/>
    <col min="10" max="10" width="13" customWidth="1"/>
  </cols>
  <sheetData>
    <row r="1" spans="1:10" ht="17.399999999999999" x14ac:dyDescent="0.3">
      <c r="A1" s="6" t="s">
        <v>46</v>
      </c>
    </row>
    <row r="3" spans="1:10" ht="26.4" x14ac:dyDescent="0.3">
      <c r="A3" s="7" t="s">
        <v>47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  <c r="H3" s="7" t="s">
        <v>54</v>
      </c>
      <c r="I3" s="7" t="s">
        <v>55</v>
      </c>
      <c r="J3" s="7" t="s">
        <v>56</v>
      </c>
    </row>
    <row r="4" spans="1:10" x14ac:dyDescent="0.3">
      <c r="A4" s="8" t="s">
        <v>30</v>
      </c>
      <c r="B4" s="9">
        <f>COUNTA('Chung - Xác thực'!A2:A1000)</f>
        <v>30</v>
      </c>
      <c r="C4" s="9">
        <f>COUNTIF('Chung - Xác thực'!L2:L1000,"Pass")</f>
        <v>0</v>
      </c>
      <c r="D4" s="9">
        <f>COUNTIF('Chung - Xác thực'!L2:L1000,"Fail")</f>
        <v>0</v>
      </c>
      <c r="E4" s="9">
        <f>COUNTIF('Chung - Xác thực'!L2:L1000,"Blocked")</f>
        <v>0</v>
      </c>
      <c r="F4" s="9">
        <f>COUNTIF('Chung - Xác thực'!L2:L1000,"Not Run")</f>
        <v>30</v>
      </c>
      <c r="G4" s="10">
        <f>IFERROR((B4-F4)/B4,0)</f>
        <v>0</v>
      </c>
      <c r="H4" s="10">
        <f t="shared" ref="H4:H12" si="0">IFERROR(C4/(B4-F4),0)</f>
        <v>0</v>
      </c>
      <c r="I4" s="9">
        <f>COUNTIF('Chung - Xác thực'!I2:I1000,"Cao")</f>
        <v>12</v>
      </c>
      <c r="J4" s="9">
        <f>COUNTIFS('Chung - Xác thực'!I2:I1000,"Cao",'Chung - Xác thực'!L2:L1000,"Fail")</f>
        <v>0</v>
      </c>
    </row>
    <row r="5" spans="1:10" x14ac:dyDescent="0.3">
      <c r="A5" s="8" t="s">
        <v>32</v>
      </c>
      <c r="B5" s="9">
        <f>COUNTA('Chung - Thông báo'!A2:A1000)</f>
        <v>8</v>
      </c>
      <c r="C5" s="9">
        <f>COUNTIF('Chung - Thông báo'!L2:L1000,"Pass")</f>
        <v>0</v>
      </c>
      <c r="D5" s="9">
        <f>COUNTIF('Chung - Thông báo'!L2:L1000,"Fail")</f>
        <v>0</v>
      </c>
      <c r="E5" s="9">
        <f>COUNTIF('Chung - Thông báo'!L2:L1000,"Blocked")</f>
        <v>0</v>
      </c>
      <c r="F5" s="9">
        <f>COUNTIF('Chung - Thông báo'!L2:L1000,"Not Run")</f>
        <v>8</v>
      </c>
      <c r="G5" s="10">
        <f t="shared" ref="G4:G12" si="1">IFERROR((B5-F5)/B5,0)</f>
        <v>0</v>
      </c>
      <c r="H5" s="10">
        <f t="shared" si="0"/>
        <v>0</v>
      </c>
      <c r="I5" s="9">
        <f>COUNTIF('Chung - Thông báo'!I2:I1000,"Cao")</f>
        <v>2</v>
      </c>
      <c r="J5" s="9">
        <f>COUNTIFS('Chung - Thông báo'!I2:I1000,"Cao",'Chung - Thông báo'!L2:L1000,"Fail")</f>
        <v>0</v>
      </c>
    </row>
    <row r="6" spans="1:10" x14ac:dyDescent="0.3">
      <c r="A6" s="8" t="s">
        <v>34</v>
      </c>
      <c r="B6" s="9">
        <f>COUNTA('Chung - Phản hồi'!A2:A1000)</f>
        <v>30</v>
      </c>
      <c r="C6" s="9">
        <f>COUNTIF('Chung - Phản hồi'!L2:L1000,"Pass")</f>
        <v>0</v>
      </c>
      <c r="D6" s="9">
        <f>COUNTIF('Chung - Phản hồi'!L2:L1000,"Fail")</f>
        <v>0</v>
      </c>
      <c r="E6" s="9">
        <f>COUNTIF('Chung - Phản hồi'!L2:L1000,"Blocked")</f>
        <v>0</v>
      </c>
      <c r="F6" s="9">
        <f>COUNTIF('Chung - Phản hồi'!L2:L1000,"Not Run")</f>
        <v>30</v>
      </c>
      <c r="G6" s="10">
        <f t="shared" si="1"/>
        <v>0</v>
      </c>
      <c r="H6" s="10">
        <f t="shared" si="0"/>
        <v>0</v>
      </c>
      <c r="I6" s="9">
        <f>COUNTIF('Chung - Phản hồi'!I2:I1000,"Cao")</f>
        <v>10</v>
      </c>
      <c r="J6" s="9">
        <f>COUNTIFS('Chung - Phản hồi'!I2:I1000,"Cao",'Chung - Phản hồi'!L2:L1000,"Fail")</f>
        <v>0</v>
      </c>
    </row>
    <row r="7" spans="1:10" x14ac:dyDescent="0.3">
      <c r="A7" s="8" t="s">
        <v>36</v>
      </c>
      <c r="B7" s="9">
        <f>COUNTA('Nhân viên'!A2:A1000)</f>
        <v>50</v>
      </c>
      <c r="C7" s="9">
        <f>COUNTIF('Nhân viên'!L2:L1000,"Pass")</f>
        <v>0</v>
      </c>
      <c r="D7" s="9">
        <f>COUNTIF('Nhân viên'!L2:L1000,"Fail")</f>
        <v>0</v>
      </c>
      <c r="E7" s="9">
        <f>COUNTIF('Nhân viên'!L2:L1000,"Blocked")</f>
        <v>0</v>
      </c>
      <c r="F7" s="9">
        <f>COUNTIF('Nhân viên'!L2:L1000,"Not Run")</f>
        <v>50</v>
      </c>
      <c r="G7" s="10">
        <f t="shared" si="1"/>
        <v>0</v>
      </c>
      <c r="H7" s="10">
        <f t="shared" si="0"/>
        <v>0</v>
      </c>
      <c r="I7" s="9">
        <f>COUNTIF('Nhân viên'!I2:I1000,"Cao")</f>
        <v>18</v>
      </c>
      <c r="J7" s="9">
        <f>COUNTIFS('Nhân viên'!I2:I1000,"Cao",'Nhân viên'!L2:L1000,"Fail")</f>
        <v>0</v>
      </c>
    </row>
    <row r="8" spans="1:10" x14ac:dyDescent="0.3">
      <c r="A8" s="8" t="s">
        <v>38</v>
      </c>
      <c r="B8" s="9">
        <f>COUNTA('Trưởng cửa hàng'!A2:A1000)</f>
        <v>33</v>
      </c>
      <c r="C8" s="9">
        <f>COUNTIF('Trưởng cửa hàng'!L2:L1000,"Pass")</f>
        <v>0</v>
      </c>
      <c r="D8" s="9">
        <f>COUNTIF('Trưởng cửa hàng'!L2:L1000,"Fail")</f>
        <v>0</v>
      </c>
      <c r="E8" s="9">
        <f>COUNTIF('Trưởng cửa hàng'!L2:L1000,"Blocked")</f>
        <v>0</v>
      </c>
      <c r="F8" s="9">
        <f>COUNTIF('Trưởng cửa hàng'!L2:L1000,"Not Run")</f>
        <v>33</v>
      </c>
      <c r="G8" s="10">
        <f t="shared" si="1"/>
        <v>0</v>
      </c>
      <c r="H8" s="10">
        <f t="shared" si="0"/>
        <v>0</v>
      </c>
      <c r="I8" s="9">
        <f>COUNTIF('Trưởng cửa hàng'!I2:I1000,"Cao")</f>
        <v>14</v>
      </c>
      <c r="J8" s="9">
        <f>COUNTIFS('Trưởng cửa hàng'!I2:I1000,"Cao",'Trưởng cửa hàng'!L2:L1000,"Fail")</f>
        <v>0</v>
      </c>
    </row>
    <row r="9" spans="1:10" x14ac:dyDescent="0.3">
      <c r="A9" s="8" t="s">
        <v>40</v>
      </c>
      <c r="B9" s="9">
        <f>COUNTA('Quản lý'!A2:A1000)</f>
        <v>52</v>
      </c>
      <c r="C9" s="9">
        <f>COUNTIF('Quản lý'!L2:L1000,"Pass")</f>
        <v>0</v>
      </c>
      <c r="D9" s="9">
        <f>COUNTIF('Quản lý'!L2:L1000,"Fail")</f>
        <v>0</v>
      </c>
      <c r="E9" s="9">
        <f>COUNTIF('Quản lý'!L2:L1000,"Blocked")</f>
        <v>0</v>
      </c>
      <c r="F9" s="9">
        <f>COUNTIF('Quản lý'!L2:L1000,"Not Run")</f>
        <v>52</v>
      </c>
      <c r="G9" s="10">
        <f t="shared" si="1"/>
        <v>0</v>
      </c>
      <c r="H9" s="10">
        <f t="shared" si="0"/>
        <v>0</v>
      </c>
      <c r="I9" s="9">
        <f>COUNTIF('Quản lý'!I2:I1000,"Cao")</f>
        <v>18</v>
      </c>
      <c r="J9" s="9">
        <f>COUNTIFS('Quản lý'!I2:I1000,"Cao",'Quản lý'!L2:L1000,"Fail")</f>
        <v>0</v>
      </c>
    </row>
    <row r="10" spans="1:10" x14ac:dyDescent="0.3">
      <c r="A10" s="8" t="s">
        <v>42</v>
      </c>
      <c r="B10" s="9">
        <f>COUNTA(Admin!A2:A1000)</f>
        <v>19</v>
      </c>
      <c r="C10" s="9">
        <f>COUNTIF(Admin!L2:L1000,"Pass")</f>
        <v>0</v>
      </c>
      <c r="D10" s="9">
        <f>COUNTIF(Admin!L2:L1000,"Fail")</f>
        <v>0</v>
      </c>
      <c r="E10" s="9">
        <f>COUNTIF(Admin!L2:L1000,"Blocked")</f>
        <v>0</v>
      </c>
      <c r="F10" s="9">
        <f>COUNTIF(Admin!L2:L1000,"Not Run")</f>
        <v>19</v>
      </c>
      <c r="G10" s="10">
        <f t="shared" si="1"/>
        <v>0</v>
      </c>
      <c r="H10" s="10">
        <f t="shared" si="0"/>
        <v>0</v>
      </c>
      <c r="I10" s="9">
        <f>COUNTIF(Admin!I2:I1000,"Cao")</f>
        <v>10</v>
      </c>
      <c r="J10" s="9">
        <f>COUNTIFS(Admin!I2:I1000,"Cao",Admin!L2:L1000,"Fail")</f>
        <v>0</v>
      </c>
    </row>
    <row r="11" spans="1:10" x14ac:dyDescent="0.3">
      <c r="A11" s="8" t="s">
        <v>44</v>
      </c>
      <c r="B11" s="9">
        <f>COUNTA('Phân quyền &amp; Bảo mật'!A2:A1000)</f>
        <v>13</v>
      </c>
      <c r="C11" s="9">
        <f>COUNTIF('Phân quyền &amp; Bảo mật'!L2:L1000,"Pass")</f>
        <v>0</v>
      </c>
      <c r="D11" s="9">
        <f>COUNTIF('Phân quyền &amp; Bảo mật'!L2:L1000,"Fail")</f>
        <v>0</v>
      </c>
      <c r="E11" s="9">
        <f>COUNTIF('Phân quyền &amp; Bảo mật'!L2:L1000,"Blocked")</f>
        <v>0</v>
      </c>
      <c r="F11" s="9">
        <f>COUNTIF('Phân quyền &amp; Bảo mật'!L2:L1000,"Not Run")</f>
        <v>13</v>
      </c>
      <c r="G11" s="10">
        <f t="shared" si="1"/>
        <v>0</v>
      </c>
      <c r="H11" s="10">
        <f t="shared" si="0"/>
        <v>0</v>
      </c>
      <c r="I11" s="9">
        <f>COUNTIF('Phân quyền &amp; Bảo mật'!I2:I1000,"Cao")</f>
        <v>9</v>
      </c>
      <c r="J11" s="9">
        <f>COUNTIFS('Phân quyền &amp; Bảo mật'!I2:I1000,"Cao",'Phân quyền &amp; Bảo mật'!L2:L1000,"Fail")</f>
        <v>0</v>
      </c>
    </row>
    <row r="12" spans="1:10" x14ac:dyDescent="0.3">
      <c r="A12" s="11" t="s">
        <v>57</v>
      </c>
      <c r="B12" s="12">
        <f>SUM(B4:B11)</f>
        <v>235</v>
      </c>
      <c r="C12" s="12">
        <f>SUM(C4:C11)</f>
        <v>0</v>
      </c>
      <c r="D12" s="12">
        <f>SUM(D4:D11)</f>
        <v>0</v>
      </c>
      <c r="E12" s="12">
        <f>SUM(E4:E11)</f>
        <v>0</v>
      </c>
      <c r="F12" s="12">
        <f>SUM(F4:F11)</f>
        <v>235</v>
      </c>
      <c r="G12" s="13">
        <f t="shared" si="1"/>
        <v>0</v>
      </c>
      <c r="H12" s="13">
        <f t="shared" si="0"/>
        <v>0</v>
      </c>
      <c r="I12" s="12">
        <f>SUM(I4:I11)</f>
        <v>93</v>
      </c>
      <c r="J12" s="12">
        <f>SUM(J4:J11)</f>
        <v>0</v>
      </c>
    </row>
    <row r="14" spans="1:10" x14ac:dyDescent="0.3">
      <c r="A14" s="14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"/>
  <sheetViews>
    <sheetView workbookViewId="0">
      <pane xSplit="4" ySplit="1" topLeftCell="I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3" width="18" customWidth="1"/>
    <col min="4" max="4" width="34" customWidth="1"/>
    <col min="5" max="5" width="30" customWidth="1"/>
    <col min="6" max="6" width="44" customWidth="1"/>
    <col min="7" max="7" width="22" customWidth="1"/>
    <col min="8" max="8" width="48" customWidth="1"/>
    <col min="9" max="10" width="11" customWidth="1"/>
    <col min="11" max="11" width="30" customWidth="1"/>
    <col min="12" max="12" width="12" customWidth="1"/>
    <col min="13" max="13" width="14" customWidth="1"/>
    <col min="14" max="14" width="12" customWidth="1"/>
    <col min="15" max="15" width="22" customWidth="1"/>
  </cols>
  <sheetData>
    <row r="1" spans="1:15" ht="30" customHeight="1" x14ac:dyDescent="0.3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14</v>
      </c>
      <c r="J1" s="7" t="s">
        <v>16</v>
      </c>
      <c r="K1" s="7" t="s">
        <v>67</v>
      </c>
      <c r="L1" s="7" t="s">
        <v>8</v>
      </c>
      <c r="M1" s="7" t="s">
        <v>68</v>
      </c>
      <c r="N1" s="7" t="s">
        <v>69</v>
      </c>
      <c r="O1" s="7" t="s">
        <v>70</v>
      </c>
    </row>
    <row r="2" spans="1:15" ht="39.6" x14ac:dyDescent="0.3">
      <c r="A2" s="15" t="s">
        <v>71</v>
      </c>
      <c r="B2" s="16" t="s">
        <v>72</v>
      </c>
      <c r="C2" s="16" t="s">
        <v>72</v>
      </c>
      <c r="D2" s="16" t="s">
        <v>73</v>
      </c>
      <c r="E2" s="16" t="s">
        <v>74</v>
      </c>
      <c r="F2" s="16" t="s">
        <v>75</v>
      </c>
      <c r="G2" s="16" t="s">
        <v>76</v>
      </c>
      <c r="H2" s="16" t="s">
        <v>77</v>
      </c>
      <c r="I2" s="15" t="s">
        <v>78</v>
      </c>
      <c r="J2" s="15" t="s">
        <v>79</v>
      </c>
      <c r="K2" s="17"/>
      <c r="L2" s="18" t="s">
        <v>52</v>
      </c>
      <c r="M2" s="17"/>
      <c r="N2" s="19"/>
      <c r="O2" s="17"/>
    </row>
    <row r="3" spans="1:15" ht="39.6" x14ac:dyDescent="0.3">
      <c r="A3" s="15" t="s">
        <v>80</v>
      </c>
      <c r="B3" s="16" t="s">
        <v>72</v>
      </c>
      <c r="C3" s="16" t="s">
        <v>72</v>
      </c>
      <c r="D3" s="16" t="s">
        <v>81</v>
      </c>
      <c r="E3" s="16" t="s">
        <v>82</v>
      </c>
      <c r="F3" s="16" t="s">
        <v>83</v>
      </c>
      <c r="G3" s="16" t="s">
        <v>84</v>
      </c>
      <c r="H3" s="16" t="s">
        <v>85</v>
      </c>
      <c r="I3" s="15" t="s">
        <v>78</v>
      </c>
      <c r="J3" s="15" t="s">
        <v>79</v>
      </c>
      <c r="K3" s="17"/>
      <c r="L3" s="18" t="s">
        <v>52</v>
      </c>
      <c r="M3" s="17"/>
      <c r="N3" s="19"/>
      <c r="O3" s="17"/>
    </row>
    <row r="4" spans="1:15" ht="39.6" x14ac:dyDescent="0.3">
      <c r="A4" s="15" t="s">
        <v>86</v>
      </c>
      <c r="B4" s="16" t="s">
        <v>72</v>
      </c>
      <c r="C4" s="16" t="s">
        <v>87</v>
      </c>
      <c r="D4" s="16" t="s">
        <v>88</v>
      </c>
      <c r="E4" s="16" t="s">
        <v>89</v>
      </c>
      <c r="F4" s="16" t="s">
        <v>90</v>
      </c>
      <c r="G4" s="16" t="s">
        <v>91</v>
      </c>
      <c r="H4" s="16" t="s">
        <v>92</v>
      </c>
      <c r="I4" s="15" t="s">
        <v>78</v>
      </c>
      <c r="J4" s="15" t="s">
        <v>79</v>
      </c>
      <c r="K4" s="17"/>
      <c r="L4" s="18" t="s">
        <v>52</v>
      </c>
      <c r="M4" s="17"/>
      <c r="N4" s="19"/>
      <c r="O4" s="17"/>
    </row>
    <row r="5" spans="1:15" ht="39.6" x14ac:dyDescent="0.3">
      <c r="A5" s="15" t="s">
        <v>93</v>
      </c>
      <c r="B5" s="16" t="s">
        <v>72</v>
      </c>
      <c r="C5" s="16" t="s">
        <v>72</v>
      </c>
      <c r="D5" s="16" t="s">
        <v>94</v>
      </c>
      <c r="E5" s="16" t="s">
        <v>95</v>
      </c>
      <c r="F5" s="16" t="s">
        <v>96</v>
      </c>
      <c r="G5" s="16" t="s">
        <v>97</v>
      </c>
      <c r="H5" s="16" t="s">
        <v>98</v>
      </c>
      <c r="I5" s="15" t="s">
        <v>78</v>
      </c>
      <c r="J5" s="15" t="s">
        <v>99</v>
      </c>
      <c r="K5" s="17"/>
      <c r="L5" s="18" t="s">
        <v>52</v>
      </c>
      <c r="M5" s="17"/>
      <c r="N5" s="19"/>
      <c r="O5" s="17"/>
    </row>
    <row r="6" spans="1:15" ht="39.6" x14ac:dyDescent="0.3">
      <c r="A6" s="15" t="s">
        <v>100</v>
      </c>
      <c r="B6" s="16" t="s">
        <v>72</v>
      </c>
      <c r="C6" s="16" t="s">
        <v>72</v>
      </c>
      <c r="D6" s="16" t="s">
        <v>101</v>
      </c>
      <c r="E6" s="16" t="s">
        <v>102</v>
      </c>
      <c r="F6" s="16" t="s">
        <v>103</v>
      </c>
      <c r="G6" s="16" t="s">
        <v>104</v>
      </c>
      <c r="H6" s="16" t="s">
        <v>105</v>
      </c>
      <c r="I6" s="15" t="s">
        <v>106</v>
      </c>
      <c r="J6" s="15" t="s">
        <v>99</v>
      </c>
      <c r="K6" s="17"/>
      <c r="L6" s="18" t="s">
        <v>52</v>
      </c>
      <c r="M6" s="17"/>
      <c r="N6" s="19"/>
      <c r="O6" s="17"/>
    </row>
    <row r="7" spans="1:15" ht="26.4" x14ac:dyDescent="0.3">
      <c r="A7" s="15" t="s">
        <v>107</v>
      </c>
      <c r="B7" s="16" t="s">
        <v>72</v>
      </c>
      <c r="C7" s="16" t="s">
        <v>72</v>
      </c>
      <c r="D7" s="16" t="s">
        <v>108</v>
      </c>
      <c r="E7" s="16" t="s">
        <v>102</v>
      </c>
      <c r="F7" s="16" t="s">
        <v>109</v>
      </c>
      <c r="G7" s="16" t="s">
        <v>110</v>
      </c>
      <c r="H7" s="16" t="s">
        <v>111</v>
      </c>
      <c r="I7" s="15" t="s">
        <v>106</v>
      </c>
      <c r="J7" s="15" t="s">
        <v>112</v>
      </c>
      <c r="K7" s="17"/>
      <c r="L7" s="18" t="s">
        <v>52</v>
      </c>
      <c r="M7" s="17"/>
      <c r="N7" s="19"/>
      <c r="O7" s="17"/>
    </row>
    <row r="8" spans="1:15" ht="26.4" x14ac:dyDescent="0.3">
      <c r="A8" s="15" t="s">
        <v>113</v>
      </c>
      <c r="B8" s="16" t="s">
        <v>72</v>
      </c>
      <c r="C8" s="16" t="s">
        <v>72</v>
      </c>
      <c r="D8" s="16" t="s">
        <v>114</v>
      </c>
      <c r="E8" s="16" t="s">
        <v>115</v>
      </c>
      <c r="F8" s="16" t="s">
        <v>116</v>
      </c>
      <c r="G8" s="16" t="s">
        <v>102</v>
      </c>
      <c r="H8" s="16" t="s">
        <v>117</v>
      </c>
      <c r="I8" s="15" t="s">
        <v>78</v>
      </c>
      <c r="J8" s="15" t="s">
        <v>99</v>
      </c>
      <c r="K8" s="17"/>
      <c r="L8" s="18" t="s">
        <v>52</v>
      </c>
      <c r="M8" s="17"/>
      <c r="N8" s="19"/>
      <c r="O8" s="17"/>
    </row>
    <row r="9" spans="1:15" ht="26.4" x14ac:dyDescent="0.3">
      <c r="A9" s="15" t="s">
        <v>118</v>
      </c>
      <c r="B9" s="16" t="s">
        <v>72</v>
      </c>
      <c r="C9" s="16" t="s">
        <v>72</v>
      </c>
      <c r="D9" s="16" t="s">
        <v>119</v>
      </c>
      <c r="E9" s="16" t="s">
        <v>120</v>
      </c>
      <c r="F9" s="16" t="s">
        <v>121</v>
      </c>
      <c r="G9" s="16" t="s">
        <v>102</v>
      </c>
      <c r="H9" s="16" t="s">
        <v>117</v>
      </c>
      <c r="I9" s="15" t="s">
        <v>106</v>
      </c>
      <c r="J9" s="15" t="s">
        <v>99</v>
      </c>
      <c r="K9" s="17"/>
      <c r="L9" s="18" t="s">
        <v>52</v>
      </c>
      <c r="M9" s="17"/>
      <c r="N9" s="19"/>
      <c r="O9" s="17"/>
    </row>
    <row r="10" spans="1:15" ht="26.4" x14ac:dyDescent="0.3">
      <c r="A10" s="15" t="s">
        <v>122</v>
      </c>
      <c r="B10" s="16" t="s">
        <v>72</v>
      </c>
      <c r="C10" s="16" t="s">
        <v>72</v>
      </c>
      <c r="D10" s="16" t="s">
        <v>123</v>
      </c>
      <c r="E10" s="16" t="s">
        <v>102</v>
      </c>
      <c r="F10" s="16" t="s">
        <v>124</v>
      </c>
      <c r="G10" s="16" t="s">
        <v>102</v>
      </c>
      <c r="H10" s="16" t="s">
        <v>125</v>
      </c>
      <c r="I10" s="15" t="s">
        <v>126</v>
      </c>
      <c r="J10" s="15" t="s">
        <v>79</v>
      </c>
      <c r="K10" s="17"/>
      <c r="L10" s="18" t="s">
        <v>52</v>
      </c>
      <c r="M10" s="17"/>
      <c r="N10" s="19"/>
      <c r="O10" s="17"/>
    </row>
    <row r="11" spans="1:15" ht="26.4" x14ac:dyDescent="0.3">
      <c r="A11" s="15" t="s">
        <v>127</v>
      </c>
      <c r="B11" s="16" t="s">
        <v>72</v>
      </c>
      <c r="C11" s="16" t="s">
        <v>72</v>
      </c>
      <c r="D11" s="16" t="s">
        <v>128</v>
      </c>
      <c r="E11" s="16" t="s">
        <v>129</v>
      </c>
      <c r="F11" s="16" t="s">
        <v>130</v>
      </c>
      <c r="G11" s="16" t="s">
        <v>102</v>
      </c>
      <c r="H11" s="16" t="s">
        <v>131</v>
      </c>
      <c r="I11" s="15" t="s">
        <v>126</v>
      </c>
      <c r="J11" s="15" t="s">
        <v>99</v>
      </c>
      <c r="K11" s="17"/>
      <c r="L11" s="18" t="s">
        <v>52</v>
      </c>
      <c r="M11" s="17"/>
      <c r="N11" s="19"/>
      <c r="O11" s="17"/>
    </row>
    <row r="12" spans="1:15" ht="39.6" x14ac:dyDescent="0.3">
      <c r="A12" s="15" t="s">
        <v>132</v>
      </c>
      <c r="B12" s="16" t="s">
        <v>133</v>
      </c>
      <c r="C12" s="16" t="s">
        <v>134</v>
      </c>
      <c r="D12" s="16" t="s">
        <v>135</v>
      </c>
      <c r="E12" s="16" t="s">
        <v>102</v>
      </c>
      <c r="F12" s="16" t="s">
        <v>136</v>
      </c>
      <c r="G12" s="16" t="s">
        <v>137</v>
      </c>
      <c r="H12" s="16" t="s">
        <v>138</v>
      </c>
      <c r="I12" s="15" t="s">
        <v>78</v>
      </c>
      <c r="J12" s="15" t="s">
        <v>79</v>
      </c>
      <c r="K12" s="17"/>
      <c r="L12" s="18" t="s">
        <v>52</v>
      </c>
      <c r="M12" s="17"/>
      <c r="N12" s="19"/>
      <c r="O12" s="17"/>
    </row>
    <row r="13" spans="1:15" ht="26.4" x14ac:dyDescent="0.3">
      <c r="A13" s="15" t="s">
        <v>139</v>
      </c>
      <c r="B13" s="16" t="s">
        <v>133</v>
      </c>
      <c r="C13" s="16" t="s">
        <v>140</v>
      </c>
      <c r="D13" s="16" t="s">
        <v>141</v>
      </c>
      <c r="E13" s="16" t="s">
        <v>142</v>
      </c>
      <c r="F13" s="16" t="s">
        <v>143</v>
      </c>
      <c r="G13" s="16" t="s">
        <v>102</v>
      </c>
      <c r="H13" s="16" t="s">
        <v>144</v>
      </c>
      <c r="I13" s="15" t="s">
        <v>78</v>
      </c>
      <c r="J13" s="15" t="s">
        <v>79</v>
      </c>
      <c r="K13" s="17"/>
      <c r="L13" s="18" t="s">
        <v>52</v>
      </c>
      <c r="M13" s="17"/>
      <c r="N13" s="19"/>
      <c r="O13" s="17"/>
    </row>
    <row r="14" spans="1:15" ht="26.4" x14ac:dyDescent="0.3">
      <c r="A14" s="15" t="s">
        <v>145</v>
      </c>
      <c r="B14" s="16" t="s">
        <v>133</v>
      </c>
      <c r="C14" s="16" t="s">
        <v>146</v>
      </c>
      <c r="D14" s="16" t="s">
        <v>147</v>
      </c>
      <c r="E14" s="16" t="s">
        <v>102</v>
      </c>
      <c r="F14" s="16" t="s">
        <v>148</v>
      </c>
      <c r="G14" s="16" t="s">
        <v>149</v>
      </c>
      <c r="H14" s="16" t="s">
        <v>150</v>
      </c>
      <c r="I14" s="15" t="s">
        <v>106</v>
      </c>
      <c r="J14" s="15" t="s">
        <v>112</v>
      </c>
      <c r="K14" s="17"/>
      <c r="L14" s="18" t="s">
        <v>52</v>
      </c>
      <c r="M14" s="17"/>
      <c r="N14" s="19"/>
      <c r="O14" s="17"/>
    </row>
    <row r="15" spans="1:15" ht="39.6" x14ac:dyDescent="0.3">
      <c r="A15" s="15" t="s">
        <v>151</v>
      </c>
      <c r="B15" s="16" t="s">
        <v>133</v>
      </c>
      <c r="C15" s="16" t="s">
        <v>146</v>
      </c>
      <c r="D15" s="16" t="s">
        <v>152</v>
      </c>
      <c r="E15" s="16" t="s">
        <v>102</v>
      </c>
      <c r="F15" s="16" t="s">
        <v>153</v>
      </c>
      <c r="G15" s="16" t="s">
        <v>154</v>
      </c>
      <c r="H15" s="16" t="s">
        <v>155</v>
      </c>
      <c r="I15" s="15" t="s">
        <v>126</v>
      </c>
      <c r="J15" s="15" t="s">
        <v>112</v>
      </c>
      <c r="K15" s="17"/>
      <c r="L15" s="18" t="s">
        <v>52</v>
      </c>
      <c r="M15" s="17"/>
      <c r="N15" s="19"/>
      <c r="O15" s="17"/>
    </row>
    <row r="16" spans="1:15" ht="26.4" x14ac:dyDescent="0.3">
      <c r="A16" s="15" t="s">
        <v>156</v>
      </c>
      <c r="B16" s="16" t="s">
        <v>133</v>
      </c>
      <c r="C16" s="16" t="s">
        <v>146</v>
      </c>
      <c r="D16" s="16" t="s">
        <v>157</v>
      </c>
      <c r="E16" s="16" t="s">
        <v>102</v>
      </c>
      <c r="F16" s="16" t="s">
        <v>158</v>
      </c>
      <c r="G16" s="16" t="s">
        <v>159</v>
      </c>
      <c r="H16" s="16" t="s">
        <v>160</v>
      </c>
      <c r="I16" s="15" t="s">
        <v>106</v>
      </c>
      <c r="J16" s="15" t="s">
        <v>99</v>
      </c>
      <c r="K16" s="17"/>
      <c r="L16" s="18" t="s">
        <v>52</v>
      </c>
      <c r="M16" s="17"/>
      <c r="N16" s="19"/>
      <c r="O16" s="17"/>
    </row>
    <row r="17" spans="1:15" x14ac:dyDescent="0.3">
      <c r="A17" s="15" t="s">
        <v>161</v>
      </c>
      <c r="B17" s="16" t="s">
        <v>133</v>
      </c>
      <c r="C17" s="16" t="s">
        <v>146</v>
      </c>
      <c r="D17" s="16" t="s">
        <v>162</v>
      </c>
      <c r="E17" s="16" t="s">
        <v>102</v>
      </c>
      <c r="F17" s="16" t="s">
        <v>163</v>
      </c>
      <c r="G17" s="16" t="s">
        <v>164</v>
      </c>
      <c r="H17" s="16" t="s">
        <v>165</v>
      </c>
      <c r="I17" s="15" t="s">
        <v>106</v>
      </c>
      <c r="J17" s="15" t="s">
        <v>112</v>
      </c>
      <c r="K17" s="17"/>
      <c r="L17" s="18" t="s">
        <v>52</v>
      </c>
      <c r="M17" s="17"/>
      <c r="N17" s="19"/>
      <c r="O17" s="17"/>
    </row>
    <row r="18" spans="1:15" ht="26.4" x14ac:dyDescent="0.3">
      <c r="A18" s="15" t="s">
        <v>166</v>
      </c>
      <c r="B18" s="16" t="s">
        <v>133</v>
      </c>
      <c r="C18" s="16" t="s">
        <v>146</v>
      </c>
      <c r="D18" s="16" t="s">
        <v>167</v>
      </c>
      <c r="E18" s="16" t="s">
        <v>102</v>
      </c>
      <c r="F18" s="16" t="s">
        <v>168</v>
      </c>
      <c r="G18" s="16" t="s">
        <v>169</v>
      </c>
      <c r="H18" s="16" t="s">
        <v>170</v>
      </c>
      <c r="I18" s="15" t="s">
        <v>126</v>
      </c>
      <c r="J18" s="15" t="s">
        <v>112</v>
      </c>
      <c r="K18" s="17"/>
      <c r="L18" s="18" t="s">
        <v>52</v>
      </c>
      <c r="M18" s="17"/>
      <c r="N18" s="19"/>
      <c r="O18" s="17"/>
    </row>
    <row r="19" spans="1:15" ht="26.4" x14ac:dyDescent="0.3">
      <c r="A19" s="15" t="s">
        <v>171</v>
      </c>
      <c r="B19" s="16" t="s">
        <v>133</v>
      </c>
      <c r="C19" s="16" t="s">
        <v>146</v>
      </c>
      <c r="D19" s="16" t="s">
        <v>172</v>
      </c>
      <c r="E19" s="16" t="s">
        <v>102</v>
      </c>
      <c r="F19" s="16" t="s">
        <v>173</v>
      </c>
      <c r="G19" s="16" t="s">
        <v>174</v>
      </c>
      <c r="H19" s="16" t="s">
        <v>175</v>
      </c>
      <c r="I19" s="15" t="s">
        <v>106</v>
      </c>
      <c r="J19" s="15" t="s">
        <v>99</v>
      </c>
      <c r="K19" s="17"/>
      <c r="L19" s="18" t="s">
        <v>52</v>
      </c>
      <c r="M19" s="17"/>
      <c r="N19" s="19"/>
      <c r="O19" s="17"/>
    </row>
    <row r="20" spans="1:15" ht="26.4" x14ac:dyDescent="0.3">
      <c r="A20" s="15" t="s">
        <v>176</v>
      </c>
      <c r="B20" s="16" t="s">
        <v>133</v>
      </c>
      <c r="C20" s="16" t="s">
        <v>146</v>
      </c>
      <c r="D20" s="16" t="s">
        <v>177</v>
      </c>
      <c r="E20" s="16" t="s">
        <v>102</v>
      </c>
      <c r="F20" s="16" t="s">
        <v>178</v>
      </c>
      <c r="G20" s="16" t="s">
        <v>102</v>
      </c>
      <c r="H20" s="16" t="s">
        <v>179</v>
      </c>
      <c r="I20" s="15" t="s">
        <v>126</v>
      </c>
      <c r="J20" s="15" t="s">
        <v>79</v>
      </c>
      <c r="K20" s="17"/>
      <c r="L20" s="18" t="s">
        <v>52</v>
      </c>
      <c r="M20" s="17"/>
      <c r="N20" s="19"/>
      <c r="O20" s="17"/>
    </row>
    <row r="21" spans="1:15" x14ac:dyDescent="0.3">
      <c r="A21" s="15" t="s">
        <v>180</v>
      </c>
      <c r="B21" s="16" t="s">
        <v>133</v>
      </c>
      <c r="C21" s="16" t="s">
        <v>181</v>
      </c>
      <c r="D21" s="16" t="s">
        <v>182</v>
      </c>
      <c r="E21" s="16" t="s">
        <v>183</v>
      </c>
      <c r="F21" s="16" t="s">
        <v>184</v>
      </c>
      <c r="G21" s="16" t="s">
        <v>102</v>
      </c>
      <c r="H21" s="16" t="s">
        <v>185</v>
      </c>
      <c r="I21" s="15" t="s">
        <v>78</v>
      </c>
      <c r="J21" s="15" t="s">
        <v>99</v>
      </c>
      <c r="K21" s="17"/>
      <c r="L21" s="18" t="s">
        <v>52</v>
      </c>
      <c r="M21" s="17"/>
      <c r="N21" s="19"/>
      <c r="O21" s="17"/>
    </row>
    <row r="22" spans="1:15" x14ac:dyDescent="0.3">
      <c r="A22" s="15" t="s">
        <v>186</v>
      </c>
      <c r="B22" s="16" t="s">
        <v>133</v>
      </c>
      <c r="C22" s="16" t="s">
        <v>181</v>
      </c>
      <c r="D22" s="16" t="s">
        <v>187</v>
      </c>
      <c r="E22" s="16" t="s">
        <v>102</v>
      </c>
      <c r="F22" s="16" t="s">
        <v>188</v>
      </c>
      <c r="G22" s="16" t="s">
        <v>102</v>
      </c>
      <c r="H22" s="16" t="s">
        <v>189</v>
      </c>
      <c r="I22" s="15" t="s">
        <v>78</v>
      </c>
      <c r="J22" s="15" t="s">
        <v>99</v>
      </c>
      <c r="K22" s="17"/>
      <c r="L22" s="18" t="s">
        <v>52</v>
      </c>
      <c r="M22" s="17"/>
      <c r="N22" s="19"/>
      <c r="O22" s="17"/>
    </row>
    <row r="23" spans="1:15" ht="26.4" x14ac:dyDescent="0.3">
      <c r="A23" s="15" t="s">
        <v>190</v>
      </c>
      <c r="B23" s="16" t="s">
        <v>133</v>
      </c>
      <c r="C23" s="16" t="s">
        <v>181</v>
      </c>
      <c r="D23" s="16" t="s">
        <v>191</v>
      </c>
      <c r="E23" s="16" t="s">
        <v>102</v>
      </c>
      <c r="F23" s="16" t="s">
        <v>192</v>
      </c>
      <c r="G23" s="16" t="s">
        <v>102</v>
      </c>
      <c r="H23" s="16" t="s">
        <v>193</v>
      </c>
      <c r="I23" s="15" t="s">
        <v>106</v>
      </c>
      <c r="J23" s="15" t="s">
        <v>99</v>
      </c>
      <c r="K23" s="17"/>
      <c r="L23" s="18" t="s">
        <v>52</v>
      </c>
      <c r="M23" s="17"/>
      <c r="N23" s="19"/>
      <c r="O23" s="17"/>
    </row>
    <row r="24" spans="1:15" ht="39.6" x14ac:dyDescent="0.3">
      <c r="A24" s="15" t="s">
        <v>194</v>
      </c>
      <c r="B24" s="16" t="s">
        <v>195</v>
      </c>
      <c r="C24" s="16" t="s">
        <v>196</v>
      </c>
      <c r="D24" s="16" t="s">
        <v>197</v>
      </c>
      <c r="E24" s="16" t="s">
        <v>102</v>
      </c>
      <c r="F24" s="16" t="s">
        <v>198</v>
      </c>
      <c r="G24" s="16" t="s">
        <v>102</v>
      </c>
      <c r="H24" s="16" t="s">
        <v>199</v>
      </c>
      <c r="I24" s="15" t="s">
        <v>78</v>
      </c>
      <c r="J24" s="15" t="s">
        <v>79</v>
      </c>
      <c r="K24" s="17"/>
      <c r="L24" s="18" t="s">
        <v>52</v>
      </c>
      <c r="M24" s="17"/>
      <c r="N24" s="19"/>
      <c r="O24" s="17"/>
    </row>
    <row r="25" spans="1:15" ht="26.4" x14ac:dyDescent="0.3">
      <c r="A25" s="15" t="s">
        <v>200</v>
      </c>
      <c r="B25" s="16" t="s">
        <v>195</v>
      </c>
      <c r="C25" s="16" t="s">
        <v>196</v>
      </c>
      <c r="D25" s="16" t="s">
        <v>201</v>
      </c>
      <c r="E25" s="16" t="s">
        <v>102</v>
      </c>
      <c r="F25" s="16" t="s">
        <v>202</v>
      </c>
      <c r="G25" s="16" t="s">
        <v>203</v>
      </c>
      <c r="H25" s="16" t="s">
        <v>204</v>
      </c>
      <c r="I25" s="15" t="s">
        <v>106</v>
      </c>
      <c r="J25" s="15" t="s">
        <v>99</v>
      </c>
      <c r="K25" s="17"/>
      <c r="L25" s="18" t="s">
        <v>52</v>
      </c>
      <c r="M25" s="17"/>
      <c r="N25" s="19"/>
      <c r="O25" s="17"/>
    </row>
    <row r="26" spans="1:15" ht="52.8" x14ac:dyDescent="0.3">
      <c r="A26" s="15" t="s">
        <v>205</v>
      </c>
      <c r="B26" s="16" t="s">
        <v>195</v>
      </c>
      <c r="C26" s="16" t="s">
        <v>206</v>
      </c>
      <c r="D26" s="16" t="s">
        <v>207</v>
      </c>
      <c r="E26" s="16" t="s">
        <v>208</v>
      </c>
      <c r="F26" s="16" t="s">
        <v>209</v>
      </c>
      <c r="G26" s="16" t="s">
        <v>102</v>
      </c>
      <c r="H26" s="16" t="s">
        <v>210</v>
      </c>
      <c r="I26" s="15" t="s">
        <v>78</v>
      </c>
      <c r="J26" s="15" t="s">
        <v>79</v>
      </c>
      <c r="K26" s="17"/>
      <c r="L26" s="18" t="s">
        <v>52</v>
      </c>
      <c r="M26" s="17"/>
      <c r="N26" s="19"/>
      <c r="O26" s="17"/>
    </row>
    <row r="27" spans="1:15" ht="39.6" x14ac:dyDescent="0.3">
      <c r="A27" s="15" t="s">
        <v>211</v>
      </c>
      <c r="B27" s="16" t="s">
        <v>195</v>
      </c>
      <c r="C27" s="16" t="s">
        <v>206</v>
      </c>
      <c r="D27" s="16" t="s">
        <v>212</v>
      </c>
      <c r="E27" s="16" t="s">
        <v>102</v>
      </c>
      <c r="F27" s="16" t="s">
        <v>213</v>
      </c>
      <c r="G27" s="16" t="s">
        <v>214</v>
      </c>
      <c r="H27" s="16" t="s">
        <v>215</v>
      </c>
      <c r="I27" s="15" t="s">
        <v>106</v>
      </c>
      <c r="J27" s="15" t="s">
        <v>99</v>
      </c>
      <c r="K27" s="17"/>
      <c r="L27" s="18" t="s">
        <v>52</v>
      </c>
      <c r="M27" s="17"/>
      <c r="N27" s="19"/>
      <c r="O27" s="17"/>
    </row>
    <row r="28" spans="1:15" ht="26.4" x14ac:dyDescent="0.3">
      <c r="A28" s="15" t="s">
        <v>216</v>
      </c>
      <c r="B28" s="16" t="s">
        <v>195</v>
      </c>
      <c r="C28" s="16" t="s">
        <v>206</v>
      </c>
      <c r="D28" s="16" t="s">
        <v>217</v>
      </c>
      <c r="E28" s="16" t="s">
        <v>102</v>
      </c>
      <c r="F28" s="16" t="s">
        <v>218</v>
      </c>
      <c r="G28" s="16" t="s">
        <v>102</v>
      </c>
      <c r="H28" s="16" t="s">
        <v>219</v>
      </c>
      <c r="I28" s="15" t="s">
        <v>106</v>
      </c>
      <c r="J28" s="15" t="s">
        <v>112</v>
      </c>
      <c r="K28" s="17"/>
      <c r="L28" s="18" t="s">
        <v>52</v>
      </c>
      <c r="M28" s="17"/>
      <c r="N28" s="19"/>
      <c r="O28" s="17"/>
    </row>
    <row r="29" spans="1:15" ht="39.6" x14ac:dyDescent="0.3">
      <c r="A29" s="15" t="s">
        <v>220</v>
      </c>
      <c r="B29" s="16" t="s">
        <v>221</v>
      </c>
      <c r="C29" s="16" t="s">
        <v>222</v>
      </c>
      <c r="D29" s="16" t="s">
        <v>222</v>
      </c>
      <c r="E29" s="16" t="s">
        <v>223</v>
      </c>
      <c r="F29" s="16" t="s">
        <v>224</v>
      </c>
      <c r="G29" s="16" t="s">
        <v>102</v>
      </c>
      <c r="H29" s="16" t="s">
        <v>225</v>
      </c>
      <c r="I29" s="15" t="s">
        <v>78</v>
      </c>
      <c r="J29" s="15" t="s">
        <v>79</v>
      </c>
      <c r="K29" s="17"/>
      <c r="L29" s="18" t="s">
        <v>52</v>
      </c>
      <c r="M29" s="17"/>
      <c r="N29" s="19"/>
      <c r="O29" s="17"/>
    </row>
    <row r="30" spans="1:15" ht="39.6" x14ac:dyDescent="0.3">
      <c r="A30" s="15" t="s">
        <v>226</v>
      </c>
      <c r="B30" s="16" t="s">
        <v>221</v>
      </c>
      <c r="C30" s="16" t="s">
        <v>227</v>
      </c>
      <c r="D30" s="16" t="s">
        <v>228</v>
      </c>
      <c r="E30" s="16" t="s">
        <v>223</v>
      </c>
      <c r="F30" s="16" t="s">
        <v>229</v>
      </c>
      <c r="G30" s="16" t="s">
        <v>102</v>
      </c>
      <c r="H30" s="16" t="s">
        <v>230</v>
      </c>
      <c r="I30" s="15" t="s">
        <v>106</v>
      </c>
      <c r="J30" s="15" t="s">
        <v>99</v>
      </c>
      <c r="K30" s="17"/>
      <c r="L30" s="18" t="s">
        <v>52</v>
      </c>
      <c r="M30" s="17"/>
      <c r="N30" s="19"/>
      <c r="O30" s="17"/>
    </row>
    <row r="31" spans="1:15" ht="26.4" x14ac:dyDescent="0.3">
      <c r="A31" s="15" t="s">
        <v>231</v>
      </c>
      <c r="B31" s="16" t="s">
        <v>221</v>
      </c>
      <c r="C31" s="16" t="s">
        <v>232</v>
      </c>
      <c r="D31" s="16" t="s">
        <v>233</v>
      </c>
      <c r="E31" s="16" t="s">
        <v>234</v>
      </c>
      <c r="F31" s="16" t="s">
        <v>235</v>
      </c>
      <c r="G31" s="16" t="s">
        <v>102</v>
      </c>
      <c r="H31" s="16" t="s">
        <v>236</v>
      </c>
      <c r="I31" s="15" t="s">
        <v>106</v>
      </c>
      <c r="J31" s="15" t="s">
        <v>99</v>
      </c>
      <c r="K31" s="17"/>
      <c r="L31" s="18" t="s">
        <v>52</v>
      </c>
      <c r="M31" s="17"/>
      <c r="N31" s="19"/>
      <c r="O31" s="17"/>
    </row>
  </sheetData>
  <autoFilter ref="A1:O31" xr:uid="{00000000-0009-0000-0000-000002000000}"/>
  <conditionalFormatting sqref="I2:I231">
    <cfRule type="expression" dxfId="39" priority="5">
      <formula>$I2="Cao"</formula>
    </cfRule>
  </conditionalFormatting>
  <conditionalFormatting sqref="L2:L231">
    <cfRule type="expression" dxfId="38" priority="1">
      <formula>$L2="Pass"</formula>
    </cfRule>
    <cfRule type="expression" dxfId="37" priority="2">
      <formula>$L2="Fail"</formula>
    </cfRule>
    <cfRule type="expression" dxfId="36" priority="3">
      <formula>$L2="Blocked"</formula>
    </cfRule>
    <cfRule type="expression" dxfId="35" priority="4">
      <formula>$L2="Not Run"</formula>
    </cfRule>
  </conditionalFormatting>
  <dataValidations count="1">
    <dataValidation type="list" errorTitle="Trạng thái không hợp lệ" error="Chọn: Not Run / Pass / Fail / Blocked" sqref="L2:L231" xr:uid="{00000000-0002-0000-0200-000000000000}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"/>
  <sheetViews>
    <sheetView workbookViewId="0">
      <pane xSplit="4" ySplit="1" topLeftCell="I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3" width="18" customWidth="1"/>
    <col min="4" max="4" width="34" customWidth="1"/>
    <col min="5" max="5" width="30" customWidth="1"/>
    <col min="6" max="6" width="44" customWidth="1"/>
    <col min="7" max="7" width="22" customWidth="1"/>
    <col min="8" max="8" width="48" customWidth="1"/>
    <col min="9" max="10" width="11" customWidth="1"/>
    <col min="11" max="11" width="30" customWidth="1"/>
    <col min="12" max="12" width="12" customWidth="1"/>
    <col min="13" max="13" width="14" customWidth="1"/>
    <col min="14" max="14" width="12" customWidth="1"/>
    <col min="15" max="15" width="22" customWidth="1"/>
  </cols>
  <sheetData>
    <row r="1" spans="1:15" ht="30" customHeight="1" x14ac:dyDescent="0.3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14</v>
      </c>
      <c r="J1" s="7" t="s">
        <v>16</v>
      </c>
      <c r="K1" s="7" t="s">
        <v>67</v>
      </c>
      <c r="L1" s="7" t="s">
        <v>8</v>
      </c>
      <c r="M1" s="7" t="s">
        <v>68</v>
      </c>
      <c r="N1" s="7" t="s">
        <v>69</v>
      </c>
      <c r="O1" s="7" t="s">
        <v>70</v>
      </c>
    </row>
    <row r="2" spans="1:15" ht="26.4" x14ac:dyDescent="0.3">
      <c r="A2" s="15" t="s">
        <v>237</v>
      </c>
      <c r="B2" s="16" t="s">
        <v>238</v>
      </c>
      <c r="C2" s="16" t="s">
        <v>239</v>
      </c>
      <c r="D2" s="16" t="s">
        <v>240</v>
      </c>
      <c r="E2" s="16" t="s">
        <v>241</v>
      </c>
      <c r="F2" s="16" t="s">
        <v>242</v>
      </c>
      <c r="G2" s="16" t="s">
        <v>102</v>
      </c>
      <c r="H2" s="16" t="s">
        <v>243</v>
      </c>
      <c r="I2" s="15" t="s">
        <v>78</v>
      </c>
      <c r="J2" s="15" t="s">
        <v>79</v>
      </c>
      <c r="K2" s="17"/>
      <c r="L2" s="18" t="s">
        <v>52</v>
      </c>
      <c r="M2" s="17"/>
      <c r="N2" s="19"/>
      <c r="O2" s="17"/>
    </row>
    <row r="3" spans="1:15" ht="52.8" x14ac:dyDescent="0.3">
      <c r="A3" s="15" t="s">
        <v>244</v>
      </c>
      <c r="B3" s="16" t="s">
        <v>238</v>
      </c>
      <c r="C3" s="16" t="s">
        <v>245</v>
      </c>
      <c r="D3" s="16" t="s">
        <v>246</v>
      </c>
      <c r="E3" s="16" t="s">
        <v>247</v>
      </c>
      <c r="F3" s="16" t="s">
        <v>248</v>
      </c>
      <c r="G3" s="16" t="s">
        <v>102</v>
      </c>
      <c r="H3" s="16" t="s">
        <v>249</v>
      </c>
      <c r="I3" s="15" t="s">
        <v>78</v>
      </c>
      <c r="J3" s="15" t="s">
        <v>79</v>
      </c>
      <c r="K3" s="17"/>
      <c r="L3" s="18" t="s">
        <v>52</v>
      </c>
      <c r="M3" s="17"/>
      <c r="N3" s="19"/>
      <c r="O3" s="17"/>
    </row>
    <row r="4" spans="1:15" ht="26.4" x14ac:dyDescent="0.3">
      <c r="A4" s="15" t="s">
        <v>250</v>
      </c>
      <c r="B4" s="16" t="s">
        <v>238</v>
      </c>
      <c r="C4" s="16" t="s">
        <v>251</v>
      </c>
      <c r="D4" s="16" t="s">
        <v>252</v>
      </c>
      <c r="E4" s="16" t="s">
        <v>253</v>
      </c>
      <c r="F4" s="16" t="s">
        <v>254</v>
      </c>
      <c r="G4" s="16" t="s">
        <v>102</v>
      </c>
      <c r="H4" s="16" t="s">
        <v>255</v>
      </c>
      <c r="I4" s="15" t="s">
        <v>106</v>
      </c>
      <c r="J4" s="15" t="s">
        <v>79</v>
      </c>
      <c r="K4" s="17"/>
      <c r="L4" s="18" t="s">
        <v>52</v>
      </c>
      <c r="M4" s="17"/>
      <c r="N4" s="19"/>
      <c r="O4" s="17"/>
    </row>
    <row r="5" spans="1:15" ht="26.4" x14ac:dyDescent="0.3">
      <c r="A5" s="15" t="s">
        <v>256</v>
      </c>
      <c r="B5" s="16" t="s">
        <v>238</v>
      </c>
      <c r="C5" s="16" t="s">
        <v>42</v>
      </c>
      <c r="D5" s="16" t="s">
        <v>257</v>
      </c>
      <c r="E5" s="16" t="s">
        <v>258</v>
      </c>
      <c r="F5" s="16" t="s">
        <v>259</v>
      </c>
      <c r="G5" s="16" t="s">
        <v>102</v>
      </c>
      <c r="H5" s="16" t="s">
        <v>260</v>
      </c>
      <c r="I5" s="15" t="s">
        <v>106</v>
      </c>
      <c r="J5" s="15" t="s">
        <v>79</v>
      </c>
      <c r="K5" s="17"/>
      <c r="L5" s="18" t="s">
        <v>52</v>
      </c>
      <c r="M5" s="17"/>
      <c r="N5" s="19"/>
      <c r="O5" s="17"/>
    </row>
    <row r="6" spans="1:15" ht="39.6" x14ac:dyDescent="0.3">
      <c r="A6" s="15" t="s">
        <v>261</v>
      </c>
      <c r="B6" s="16" t="s">
        <v>238</v>
      </c>
      <c r="C6" s="16" t="s">
        <v>36</v>
      </c>
      <c r="D6" s="16" t="s">
        <v>262</v>
      </c>
      <c r="E6" s="16" t="s">
        <v>263</v>
      </c>
      <c r="F6" s="16" t="s">
        <v>264</v>
      </c>
      <c r="G6" s="16" t="s">
        <v>102</v>
      </c>
      <c r="H6" s="16" t="s">
        <v>265</v>
      </c>
      <c r="I6" s="15" t="s">
        <v>106</v>
      </c>
      <c r="J6" s="15" t="s">
        <v>79</v>
      </c>
      <c r="K6" s="17"/>
      <c r="L6" s="18" t="s">
        <v>52</v>
      </c>
      <c r="M6" s="17"/>
      <c r="N6" s="19"/>
      <c r="O6" s="17"/>
    </row>
    <row r="7" spans="1:15" ht="26.4" x14ac:dyDescent="0.3">
      <c r="A7" s="15" t="s">
        <v>266</v>
      </c>
      <c r="B7" s="16" t="s">
        <v>267</v>
      </c>
      <c r="C7" s="16" t="s">
        <v>268</v>
      </c>
      <c r="D7" s="16" t="s">
        <v>269</v>
      </c>
      <c r="E7" s="16" t="s">
        <v>270</v>
      </c>
      <c r="F7" s="16" t="s">
        <v>271</v>
      </c>
      <c r="G7" s="16" t="s">
        <v>102</v>
      </c>
      <c r="H7" s="16" t="s">
        <v>272</v>
      </c>
      <c r="I7" s="15" t="s">
        <v>106</v>
      </c>
      <c r="J7" s="15" t="s">
        <v>79</v>
      </c>
      <c r="K7" s="17"/>
      <c r="L7" s="18" t="s">
        <v>52</v>
      </c>
      <c r="M7" s="17"/>
      <c r="N7" s="19"/>
      <c r="O7" s="17"/>
    </row>
    <row r="8" spans="1:15" x14ac:dyDescent="0.3">
      <c r="A8" s="15" t="s">
        <v>273</v>
      </c>
      <c r="B8" s="16" t="s">
        <v>267</v>
      </c>
      <c r="C8" s="16" t="s">
        <v>268</v>
      </c>
      <c r="D8" s="16" t="s">
        <v>274</v>
      </c>
      <c r="E8" s="16" t="s">
        <v>275</v>
      </c>
      <c r="F8" s="16" t="s">
        <v>276</v>
      </c>
      <c r="G8" s="16" t="s">
        <v>102</v>
      </c>
      <c r="H8" s="16" t="s">
        <v>277</v>
      </c>
      <c r="I8" s="15" t="s">
        <v>106</v>
      </c>
      <c r="J8" s="15" t="s">
        <v>79</v>
      </c>
      <c r="K8" s="17"/>
      <c r="L8" s="18" t="s">
        <v>52</v>
      </c>
      <c r="M8" s="17"/>
      <c r="N8" s="19"/>
      <c r="O8" s="17"/>
    </row>
    <row r="9" spans="1:15" ht="26.4" x14ac:dyDescent="0.3">
      <c r="A9" s="15" t="s">
        <v>278</v>
      </c>
      <c r="B9" s="16" t="s">
        <v>267</v>
      </c>
      <c r="C9" s="16" t="s">
        <v>279</v>
      </c>
      <c r="D9" s="16" t="s">
        <v>280</v>
      </c>
      <c r="E9" s="16" t="s">
        <v>281</v>
      </c>
      <c r="F9" s="16" t="s">
        <v>264</v>
      </c>
      <c r="G9" s="16" t="s">
        <v>102</v>
      </c>
      <c r="H9" s="16" t="s">
        <v>282</v>
      </c>
      <c r="I9" s="15" t="s">
        <v>106</v>
      </c>
      <c r="J9" s="15" t="s">
        <v>79</v>
      </c>
      <c r="K9" s="17"/>
      <c r="L9" s="18" t="s">
        <v>52</v>
      </c>
      <c r="M9" s="17"/>
      <c r="N9" s="19"/>
      <c r="O9" s="17"/>
    </row>
  </sheetData>
  <autoFilter ref="A1:O9" xr:uid="{00000000-0009-0000-0000-000003000000}"/>
  <conditionalFormatting sqref="I2:I209">
    <cfRule type="expression" dxfId="34" priority="5">
      <formula>$I2="Cao"</formula>
    </cfRule>
  </conditionalFormatting>
  <conditionalFormatting sqref="L2:L209">
    <cfRule type="expression" dxfId="33" priority="1">
      <formula>$L2="Pass"</formula>
    </cfRule>
    <cfRule type="expression" dxfId="32" priority="2">
      <formula>$L2="Fail"</formula>
    </cfRule>
    <cfRule type="expression" dxfId="31" priority="3">
      <formula>$L2="Blocked"</formula>
    </cfRule>
    <cfRule type="expression" dxfId="30" priority="4">
      <formula>$L2="Not Run"</formula>
    </cfRule>
  </conditionalFormatting>
  <dataValidations count="1">
    <dataValidation type="list" errorTitle="Trạng thái không hợp lệ" error="Chọn: Not Run / Pass / Fail / Blocked" sqref="L2:L209" xr:uid="{00000000-0002-0000-0300-000000000000}">
      <formula1>"Not Run,Pass,Fail,Blocked"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workbookViewId="0">
      <pane xSplit="4" ySplit="1" topLeftCell="Z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3" width="18" customWidth="1"/>
    <col min="4" max="4" width="34" customWidth="1"/>
    <col min="5" max="5" width="30" customWidth="1"/>
    <col min="6" max="6" width="44" customWidth="1"/>
    <col min="7" max="7" width="22" customWidth="1"/>
    <col min="8" max="8" width="48" customWidth="1"/>
    <col min="9" max="10" width="11" customWidth="1"/>
    <col min="11" max="11" width="30" customWidth="1"/>
    <col min="12" max="12" width="12" customWidth="1"/>
    <col min="13" max="13" width="14" customWidth="1"/>
    <col min="14" max="14" width="12" customWidth="1"/>
    <col min="15" max="15" width="22" customWidth="1"/>
  </cols>
  <sheetData>
    <row r="1" spans="1:15" ht="30" customHeight="1" x14ac:dyDescent="0.3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14</v>
      </c>
      <c r="J1" s="7" t="s">
        <v>16</v>
      </c>
      <c r="K1" s="7" t="s">
        <v>67</v>
      </c>
      <c r="L1" s="7" t="s">
        <v>8</v>
      </c>
      <c r="M1" s="7" t="s">
        <v>68</v>
      </c>
      <c r="N1" s="7" t="s">
        <v>69</v>
      </c>
      <c r="O1" s="7" t="s">
        <v>70</v>
      </c>
    </row>
    <row r="2" spans="1:15" ht="39.6" x14ac:dyDescent="0.3">
      <c r="A2" s="15" t="s">
        <v>283</v>
      </c>
      <c r="B2" s="16" t="s">
        <v>284</v>
      </c>
      <c r="C2" s="16" t="s">
        <v>285</v>
      </c>
      <c r="D2" s="16" t="s">
        <v>286</v>
      </c>
      <c r="E2" s="16" t="s">
        <v>287</v>
      </c>
      <c r="F2" s="16" t="s">
        <v>288</v>
      </c>
      <c r="G2" s="16" t="s">
        <v>102</v>
      </c>
      <c r="H2" s="16" t="s">
        <v>289</v>
      </c>
      <c r="I2" s="15" t="s">
        <v>106</v>
      </c>
      <c r="J2" s="15" t="s">
        <v>79</v>
      </c>
      <c r="K2" s="17"/>
      <c r="L2" s="18" t="s">
        <v>52</v>
      </c>
      <c r="M2" s="17"/>
      <c r="N2" s="19"/>
      <c r="O2" s="17"/>
    </row>
    <row r="3" spans="1:15" ht="52.8" x14ac:dyDescent="0.3">
      <c r="A3" s="15" t="s">
        <v>290</v>
      </c>
      <c r="B3" s="16" t="s">
        <v>284</v>
      </c>
      <c r="C3" s="16" t="s">
        <v>291</v>
      </c>
      <c r="D3" s="16" t="s">
        <v>292</v>
      </c>
      <c r="E3" s="16" t="s">
        <v>293</v>
      </c>
      <c r="F3" s="16" t="s">
        <v>294</v>
      </c>
      <c r="G3" s="16" t="s">
        <v>102</v>
      </c>
      <c r="H3" s="16" t="s">
        <v>295</v>
      </c>
      <c r="I3" s="15" t="s">
        <v>78</v>
      </c>
      <c r="J3" s="15" t="s">
        <v>79</v>
      </c>
      <c r="K3" s="17"/>
      <c r="L3" s="18" t="s">
        <v>52</v>
      </c>
      <c r="M3" s="17"/>
      <c r="N3" s="19"/>
      <c r="O3" s="17"/>
    </row>
    <row r="4" spans="1:15" ht="39.6" x14ac:dyDescent="0.3">
      <c r="A4" s="15" t="s">
        <v>296</v>
      </c>
      <c r="B4" s="16" t="s">
        <v>284</v>
      </c>
      <c r="C4" s="16" t="s">
        <v>291</v>
      </c>
      <c r="D4" s="16" t="s">
        <v>297</v>
      </c>
      <c r="E4" s="16" t="s">
        <v>102</v>
      </c>
      <c r="F4" s="16" t="s">
        <v>298</v>
      </c>
      <c r="G4" s="16" t="s">
        <v>102</v>
      </c>
      <c r="H4" s="16" t="s">
        <v>299</v>
      </c>
      <c r="I4" s="15" t="s">
        <v>78</v>
      </c>
      <c r="J4" s="15" t="s">
        <v>99</v>
      </c>
      <c r="K4" s="17"/>
      <c r="L4" s="18" t="s">
        <v>52</v>
      </c>
      <c r="M4" s="17"/>
      <c r="N4" s="19"/>
      <c r="O4" s="17"/>
    </row>
    <row r="5" spans="1:15" ht="39.6" x14ac:dyDescent="0.3">
      <c r="A5" s="15" t="s">
        <v>300</v>
      </c>
      <c r="B5" s="16" t="s">
        <v>284</v>
      </c>
      <c r="C5" s="16" t="s">
        <v>291</v>
      </c>
      <c r="D5" s="16" t="s">
        <v>301</v>
      </c>
      <c r="E5" s="16" t="s">
        <v>302</v>
      </c>
      <c r="F5" s="16" t="s">
        <v>303</v>
      </c>
      <c r="G5" s="16" t="s">
        <v>102</v>
      </c>
      <c r="H5" s="16" t="s">
        <v>304</v>
      </c>
      <c r="I5" s="15" t="s">
        <v>78</v>
      </c>
      <c r="J5" s="15" t="s">
        <v>112</v>
      </c>
      <c r="K5" s="17"/>
      <c r="L5" s="18" t="s">
        <v>52</v>
      </c>
      <c r="M5" s="17"/>
      <c r="N5" s="19"/>
      <c r="O5" s="17"/>
    </row>
    <row r="6" spans="1:15" x14ac:dyDescent="0.3">
      <c r="A6" s="15" t="s">
        <v>305</v>
      </c>
      <c r="B6" s="16" t="s">
        <v>284</v>
      </c>
      <c r="C6" s="16" t="s">
        <v>291</v>
      </c>
      <c r="D6" s="16" t="s">
        <v>306</v>
      </c>
      <c r="E6" s="16" t="s">
        <v>307</v>
      </c>
      <c r="F6" s="16" t="s">
        <v>308</v>
      </c>
      <c r="G6" s="16" t="s">
        <v>102</v>
      </c>
      <c r="H6" s="16" t="s">
        <v>309</v>
      </c>
      <c r="I6" s="15" t="s">
        <v>106</v>
      </c>
      <c r="J6" s="15" t="s">
        <v>99</v>
      </c>
      <c r="K6" s="17"/>
      <c r="L6" s="18" t="s">
        <v>52</v>
      </c>
      <c r="M6" s="17"/>
      <c r="N6" s="19"/>
      <c r="O6" s="17"/>
    </row>
    <row r="7" spans="1:15" ht="52.8" x14ac:dyDescent="0.3">
      <c r="A7" s="15" t="s">
        <v>310</v>
      </c>
      <c r="B7" s="16" t="s">
        <v>284</v>
      </c>
      <c r="C7" s="16" t="s">
        <v>311</v>
      </c>
      <c r="D7" s="16" t="s">
        <v>312</v>
      </c>
      <c r="E7" s="16" t="s">
        <v>102</v>
      </c>
      <c r="F7" s="16" t="s">
        <v>313</v>
      </c>
      <c r="G7" s="16" t="s">
        <v>102</v>
      </c>
      <c r="H7" s="16" t="s">
        <v>314</v>
      </c>
      <c r="I7" s="15" t="s">
        <v>106</v>
      </c>
      <c r="J7" s="15" t="s">
        <v>79</v>
      </c>
      <c r="K7" s="17"/>
      <c r="L7" s="18" t="s">
        <v>52</v>
      </c>
      <c r="M7" s="17"/>
      <c r="N7" s="19"/>
      <c r="O7" s="17"/>
    </row>
    <row r="8" spans="1:15" ht="39.6" x14ac:dyDescent="0.3">
      <c r="A8" s="15" t="s">
        <v>315</v>
      </c>
      <c r="B8" s="16" t="s">
        <v>284</v>
      </c>
      <c r="C8" s="16" t="s">
        <v>311</v>
      </c>
      <c r="D8" s="16" t="s">
        <v>316</v>
      </c>
      <c r="E8" s="16" t="s">
        <v>102</v>
      </c>
      <c r="F8" s="16" t="s">
        <v>317</v>
      </c>
      <c r="G8" s="16" t="s">
        <v>102</v>
      </c>
      <c r="H8" s="16" t="s">
        <v>318</v>
      </c>
      <c r="I8" s="15" t="s">
        <v>106</v>
      </c>
      <c r="J8" s="15" t="s">
        <v>79</v>
      </c>
      <c r="K8" s="17"/>
      <c r="L8" s="18" t="s">
        <v>52</v>
      </c>
      <c r="M8" s="17"/>
      <c r="N8" s="19"/>
      <c r="O8" s="17"/>
    </row>
    <row r="9" spans="1:15" ht="26.4" x14ac:dyDescent="0.3">
      <c r="A9" s="15" t="s">
        <v>319</v>
      </c>
      <c r="B9" s="16" t="s">
        <v>284</v>
      </c>
      <c r="C9" s="16" t="s">
        <v>311</v>
      </c>
      <c r="D9" s="16" t="s">
        <v>320</v>
      </c>
      <c r="E9" s="16" t="s">
        <v>321</v>
      </c>
      <c r="F9" s="16" t="s">
        <v>322</v>
      </c>
      <c r="G9" s="16" t="s">
        <v>102</v>
      </c>
      <c r="H9" s="16" t="s">
        <v>323</v>
      </c>
      <c r="I9" s="15" t="s">
        <v>126</v>
      </c>
      <c r="J9" s="15" t="s">
        <v>99</v>
      </c>
      <c r="K9" s="17"/>
      <c r="L9" s="18" t="s">
        <v>52</v>
      </c>
      <c r="M9" s="17"/>
      <c r="N9" s="19"/>
      <c r="O9" s="17"/>
    </row>
    <row r="10" spans="1:15" ht="52.8" x14ac:dyDescent="0.3">
      <c r="A10" s="15" t="s">
        <v>324</v>
      </c>
      <c r="B10" s="16" t="s">
        <v>284</v>
      </c>
      <c r="C10" s="16" t="s">
        <v>325</v>
      </c>
      <c r="D10" s="16" t="s">
        <v>326</v>
      </c>
      <c r="E10" s="16" t="s">
        <v>102</v>
      </c>
      <c r="F10" s="16" t="s">
        <v>327</v>
      </c>
      <c r="G10" s="16" t="s">
        <v>102</v>
      </c>
      <c r="H10" s="16" t="s">
        <v>328</v>
      </c>
      <c r="I10" s="15" t="s">
        <v>78</v>
      </c>
      <c r="J10" s="15" t="s">
        <v>79</v>
      </c>
      <c r="K10" s="17"/>
      <c r="L10" s="18" t="s">
        <v>52</v>
      </c>
      <c r="M10" s="17"/>
      <c r="N10" s="19"/>
      <c r="O10" s="17"/>
    </row>
    <row r="11" spans="1:15" ht="26.4" x14ac:dyDescent="0.3">
      <c r="A11" s="15" t="s">
        <v>329</v>
      </c>
      <c r="B11" s="16" t="s">
        <v>284</v>
      </c>
      <c r="C11" s="16" t="s">
        <v>146</v>
      </c>
      <c r="D11" s="16" t="s">
        <v>330</v>
      </c>
      <c r="E11" s="16" t="s">
        <v>102</v>
      </c>
      <c r="F11" s="16" t="s">
        <v>331</v>
      </c>
      <c r="G11" s="16" t="s">
        <v>102</v>
      </c>
      <c r="H11" s="16" t="s">
        <v>332</v>
      </c>
      <c r="I11" s="15" t="s">
        <v>106</v>
      </c>
      <c r="J11" s="15" t="s">
        <v>99</v>
      </c>
      <c r="K11" s="17"/>
      <c r="L11" s="18" t="s">
        <v>52</v>
      </c>
      <c r="M11" s="17"/>
      <c r="N11" s="19"/>
      <c r="O11" s="17"/>
    </row>
    <row r="12" spans="1:15" ht="26.4" x14ac:dyDescent="0.3">
      <c r="A12" s="15" t="s">
        <v>333</v>
      </c>
      <c r="B12" s="16" t="s">
        <v>284</v>
      </c>
      <c r="C12" s="16" t="s">
        <v>334</v>
      </c>
      <c r="D12" s="16" t="s">
        <v>335</v>
      </c>
      <c r="E12" s="16" t="s">
        <v>102</v>
      </c>
      <c r="F12" s="16" t="s">
        <v>336</v>
      </c>
      <c r="G12" s="16" t="s">
        <v>337</v>
      </c>
      <c r="H12" s="16" t="s">
        <v>338</v>
      </c>
      <c r="I12" s="15" t="s">
        <v>106</v>
      </c>
      <c r="J12" s="15" t="s">
        <v>112</v>
      </c>
      <c r="K12" s="17"/>
      <c r="L12" s="18" t="s">
        <v>52</v>
      </c>
      <c r="M12" s="17"/>
      <c r="N12" s="19"/>
      <c r="O12" s="17"/>
    </row>
    <row r="13" spans="1:15" ht="26.4" x14ac:dyDescent="0.3">
      <c r="A13" s="15" t="s">
        <v>339</v>
      </c>
      <c r="B13" s="16" t="s">
        <v>284</v>
      </c>
      <c r="C13" s="16" t="s">
        <v>334</v>
      </c>
      <c r="D13" s="16" t="s">
        <v>340</v>
      </c>
      <c r="E13" s="16" t="s">
        <v>102</v>
      </c>
      <c r="F13" s="16" t="s">
        <v>341</v>
      </c>
      <c r="G13" s="16" t="s">
        <v>342</v>
      </c>
      <c r="H13" s="16" t="s">
        <v>343</v>
      </c>
      <c r="I13" s="15" t="s">
        <v>106</v>
      </c>
      <c r="J13" s="15" t="s">
        <v>112</v>
      </c>
      <c r="K13" s="17"/>
      <c r="L13" s="18" t="s">
        <v>52</v>
      </c>
      <c r="M13" s="17"/>
      <c r="N13" s="19"/>
      <c r="O13" s="17"/>
    </row>
    <row r="14" spans="1:15" x14ac:dyDescent="0.3">
      <c r="A14" s="15" t="s">
        <v>344</v>
      </c>
      <c r="B14" s="16" t="s">
        <v>284</v>
      </c>
      <c r="C14" s="16" t="s">
        <v>334</v>
      </c>
      <c r="D14" s="16" t="s">
        <v>345</v>
      </c>
      <c r="E14" s="16" t="s">
        <v>102</v>
      </c>
      <c r="F14" s="16" t="s">
        <v>346</v>
      </c>
      <c r="G14" s="16" t="s">
        <v>102</v>
      </c>
      <c r="H14" s="16" t="s">
        <v>347</v>
      </c>
      <c r="I14" s="15" t="s">
        <v>106</v>
      </c>
      <c r="J14" s="15" t="s">
        <v>99</v>
      </c>
      <c r="K14" s="17"/>
      <c r="L14" s="18" t="s">
        <v>52</v>
      </c>
      <c r="M14" s="17"/>
      <c r="N14" s="19"/>
      <c r="O14" s="17"/>
    </row>
    <row r="15" spans="1:15" x14ac:dyDescent="0.3">
      <c r="A15" s="15" t="s">
        <v>348</v>
      </c>
      <c r="B15" s="16" t="s">
        <v>284</v>
      </c>
      <c r="C15" s="16" t="s">
        <v>334</v>
      </c>
      <c r="D15" s="16" t="s">
        <v>349</v>
      </c>
      <c r="E15" s="16" t="s">
        <v>102</v>
      </c>
      <c r="F15" s="16" t="s">
        <v>350</v>
      </c>
      <c r="G15" s="16" t="s">
        <v>102</v>
      </c>
      <c r="H15" s="16" t="s">
        <v>351</v>
      </c>
      <c r="I15" s="15" t="s">
        <v>106</v>
      </c>
      <c r="J15" s="15" t="s">
        <v>112</v>
      </c>
      <c r="K15" s="17"/>
      <c r="L15" s="18" t="s">
        <v>52</v>
      </c>
      <c r="M15" s="17"/>
      <c r="N15" s="19"/>
      <c r="O15" s="17"/>
    </row>
    <row r="16" spans="1:15" ht="26.4" x14ac:dyDescent="0.3">
      <c r="A16" s="15" t="s">
        <v>352</v>
      </c>
      <c r="B16" s="16" t="s">
        <v>284</v>
      </c>
      <c r="C16" s="16" t="s">
        <v>353</v>
      </c>
      <c r="D16" s="16" t="s">
        <v>354</v>
      </c>
      <c r="E16" s="16" t="s">
        <v>355</v>
      </c>
      <c r="F16" s="16" t="s">
        <v>356</v>
      </c>
      <c r="G16" s="16" t="s">
        <v>102</v>
      </c>
      <c r="H16" s="16" t="s">
        <v>357</v>
      </c>
      <c r="I16" s="15" t="s">
        <v>106</v>
      </c>
      <c r="J16" s="15" t="s">
        <v>79</v>
      </c>
      <c r="K16" s="17"/>
      <c r="L16" s="18" t="s">
        <v>52</v>
      </c>
      <c r="M16" s="17"/>
      <c r="N16" s="19"/>
      <c r="O16" s="17"/>
    </row>
    <row r="17" spans="1:15" ht="26.4" x14ac:dyDescent="0.3">
      <c r="A17" s="15" t="s">
        <v>358</v>
      </c>
      <c r="B17" s="16" t="s">
        <v>359</v>
      </c>
      <c r="C17" s="16" t="s">
        <v>360</v>
      </c>
      <c r="D17" s="16" t="s">
        <v>361</v>
      </c>
      <c r="E17" s="16" t="s">
        <v>362</v>
      </c>
      <c r="F17" s="16" t="s">
        <v>363</v>
      </c>
      <c r="G17" s="16" t="s">
        <v>102</v>
      </c>
      <c r="H17" s="16" t="s">
        <v>364</v>
      </c>
      <c r="I17" s="15" t="s">
        <v>106</v>
      </c>
      <c r="J17" s="15" t="s">
        <v>79</v>
      </c>
      <c r="K17" s="17"/>
      <c r="L17" s="18" t="s">
        <v>52</v>
      </c>
      <c r="M17" s="17"/>
      <c r="N17" s="19"/>
      <c r="O17" s="17"/>
    </row>
    <row r="18" spans="1:15" ht="26.4" x14ac:dyDescent="0.3">
      <c r="A18" s="15" t="s">
        <v>365</v>
      </c>
      <c r="B18" s="16" t="s">
        <v>366</v>
      </c>
      <c r="C18" s="16" t="s">
        <v>8</v>
      </c>
      <c r="D18" s="16" t="s">
        <v>367</v>
      </c>
      <c r="E18" s="16" t="s">
        <v>368</v>
      </c>
      <c r="F18" s="16" t="s">
        <v>369</v>
      </c>
      <c r="G18" s="16" t="s">
        <v>102</v>
      </c>
      <c r="H18" s="16" t="s">
        <v>370</v>
      </c>
      <c r="I18" s="15" t="s">
        <v>106</v>
      </c>
      <c r="J18" s="15" t="s">
        <v>79</v>
      </c>
      <c r="K18" s="17"/>
      <c r="L18" s="18" t="s">
        <v>52</v>
      </c>
      <c r="M18" s="17"/>
      <c r="N18" s="19"/>
      <c r="O18" s="17"/>
    </row>
    <row r="19" spans="1:15" ht="39.6" x14ac:dyDescent="0.3">
      <c r="A19" s="15" t="s">
        <v>371</v>
      </c>
      <c r="B19" s="16" t="s">
        <v>366</v>
      </c>
      <c r="C19" s="16" t="s">
        <v>8</v>
      </c>
      <c r="D19" s="16" t="s">
        <v>372</v>
      </c>
      <c r="E19" s="16" t="s">
        <v>373</v>
      </c>
      <c r="F19" s="16" t="s">
        <v>374</v>
      </c>
      <c r="G19" s="16" t="s">
        <v>102</v>
      </c>
      <c r="H19" s="16" t="s">
        <v>375</v>
      </c>
      <c r="I19" s="15" t="s">
        <v>78</v>
      </c>
      <c r="J19" s="15" t="s">
        <v>79</v>
      </c>
      <c r="K19" s="17"/>
      <c r="L19" s="18" t="s">
        <v>52</v>
      </c>
      <c r="M19" s="17"/>
      <c r="N19" s="19"/>
      <c r="O19" s="17"/>
    </row>
    <row r="20" spans="1:15" ht="26.4" x14ac:dyDescent="0.3">
      <c r="A20" s="15" t="s">
        <v>376</v>
      </c>
      <c r="B20" s="16" t="s">
        <v>366</v>
      </c>
      <c r="C20" s="16" t="s">
        <v>8</v>
      </c>
      <c r="D20" s="16" t="s">
        <v>377</v>
      </c>
      <c r="E20" s="16" t="s">
        <v>378</v>
      </c>
      <c r="F20" s="16" t="s">
        <v>379</v>
      </c>
      <c r="G20" s="16" t="s">
        <v>102</v>
      </c>
      <c r="H20" s="16" t="s">
        <v>380</v>
      </c>
      <c r="I20" s="15" t="s">
        <v>78</v>
      </c>
      <c r="J20" s="15" t="s">
        <v>79</v>
      </c>
      <c r="K20" s="17"/>
      <c r="L20" s="18" t="s">
        <v>52</v>
      </c>
      <c r="M20" s="17"/>
      <c r="N20" s="19"/>
      <c r="O20" s="17"/>
    </row>
    <row r="21" spans="1:15" ht="26.4" x14ac:dyDescent="0.3">
      <c r="A21" s="15" t="s">
        <v>381</v>
      </c>
      <c r="B21" s="16" t="s">
        <v>366</v>
      </c>
      <c r="C21" s="16" t="s">
        <v>8</v>
      </c>
      <c r="D21" s="16" t="s">
        <v>382</v>
      </c>
      <c r="E21" s="16" t="s">
        <v>383</v>
      </c>
      <c r="F21" s="16" t="s">
        <v>384</v>
      </c>
      <c r="G21" s="16" t="s">
        <v>102</v>
      </c>
      <c r="H21" s="16" t="s">
        <v>385</v>
      </c>
      <c r="I21" s="15" t="s">
        <v>106</v>
      </c>
      <c r="J21" s="15" t="s">
        <v>79</v>
      </c>
      <c r="K21" s="17"/>
      <c r="L21" s="18" t="s">
        <v>52</v>
      </c>
      <c r="M21" s="17"/>
      <c r="N21" s="19"/>
      <c r="O21" s="17"/>
    </row>
    <row r="22" spans="1:15" ht="26.4" x14ac:dyDescent="0.3">
      <c r="A22" s="15" t="s">
        <v>386</v>
      </c>
      <c r="B22" s="16" t="s">
        <v>366</v>
      </c>
      <c r="C22" s="16" t="s">
        <v>8</v>
      </c>
      <c r="D22" s="16" t="s">
        <v>387</v>
      </c>
      <c r="E22" s="16" t="s">
        <v>373</v>
      </c>
      <c r="F22" s="16" t="s">
        <v>388</v>
      </c>
      <c r="G22" s="16" t="s">
        <v>102</v>
      </c>
      <c r="H22" s="16" t="s">
        <v>389</v>
      </c>
      <c r="I22" s="15" t="s">
        <v>106</v>
      </c>
      <c r="J22" s="15" t="s">
        <v>79</v>
      </c>
      <c r="K22" s="17"/>
      <c r="L22" s="18" t="s">
        <v>52</v>
      </c>
      <c r="M22" s="17"/>
      <c r="N22" s="19"/>
      <c r="O22" s="17"/>
    </row>
    <row r="23" spans="1:15" ht="26.4" x14ac:dyDescent="0.3">
      <c r="A23" s="15" t="s">
        <v>390</v>
      </c>
      <c r="B23" s="16" t="s">
        <v>366</v>
      </c>
      <c r="C23" s="16" t="s">
        <v>8</v>
      </c>
      <c r="D23" s="16" t="s">
        <v>391</v>
      </c>
      <c r="E23" s="16" t="s">
        <v>383</v>
      </c>
      <c r="F23" s="16" t="s">
        <v>388</v>
      </c>
      <c r="G23" s="16" t="s">
        <v>102</v>
      </c>
      <c r="H23" s="16" t="s">
        <v>389</v>
      </c>
      <c r="I23" s="15" t="s">
        <v>106</v>
      </c>
      <c r="J23" s="15" t="s">
        <v>79</v>
      </c>
      <c r="K23" s="17"/>
      <c r="L23" s="18" t="s">
        <v>52</v>
      </c>
      <c r="M23" s="17"/>
      <c r="N23" s="19"/>
      <c r="O23" s="17"/>
    </row>
    <row r="24" spans="1:15" ht="26.4" x14ac:dyDescent="0.3">
      <c r="A24" s="15" t="s">
        <v>392</v>
      </c>
      <c r="B24" s="16" t="s">
        <v>366</v>
      </c>
      <c r="C24" s="16" t="s">
        <v>8</v>
      </c>
      <c r="D24" s="16" t="s">
        <v>393</v>
      </c>
      <c r="E24" s="16" t="s">
        <v>394</v>
      </c>
      <c r="F24" s="16" t="s">
        <v>395</v>
      </c>
      <c r="G24" s="16" t="s">
        <v>102</v>
      </c>
      <c r="H24" s="16" t="s">
        <v>396</v>
      </c>
      <c r="I24" s="15" t="s">
        <v>106</v>
      </c>
      <c r="J24" s="15" t="s">
        <v>99</v>
      </c>
      <c r="K24" s="17"/>
      <c r="L24" s="18" t="s">
        <v>52</v>
      </c>
      <c r="M24" s="17"/>
      <c r="N24" s="19"/>
      <c r="O24" s="17"/>
    </row>
    <row r="25" spans="1:15" ht="26.4" x14ac:dyDescent="0.3">
      <c r="A25" s="15" t="s">
        <v>397</v>
      </c>
      <c r="B25" s="16" t="s">
        <v>366</v>
      </c>
      <c r="C25" s="16" t="s">
        <v>8</v>
      </c>
      <c r="D25" s="16" t="s">
        <v>398</v>
      </c>
      <c r="E25" s="16" t="s">
        <v>399</v>
      </c>
      <c r="F25" s="16" t="s">
        <v>400</v>
      </c>
      <c r="G25" s="16" t="s">
        <v>102</v>
      </c>
      <c r="H25" s="16" t="s">
        <v>401</v>
      </c>
      <c r="I25" s="15" t="s">
        <v>78</v>
      </c>
      <c r="J25" s="15" t="s">
        <v>99</v>
      </c>
      <c r="K25" s="17"/>
      <c r="L25" s="18" t="s">
        <v>52</v>
      </c>
      <c r="M25" s="17"/>
      <c r="N25" s="19"/>
      <c r="O25" s="17"/>
    </row>
    <row r="26" spans="1:15" ht="39.6" x14ac:dyDescent="0.3">
      <c r="A26" s="15" t="s">
        <v>402</v>
      </c>
      <c r="B26" s="16" t="s">
        <v>366</v>
      </c>
      <c r="C26" s="16" t="s">
        <v>403</v>
      </c>
      <c r="D26" s="16" t="s">
        <v>404</v>
      </c>
      <c r="E26" s="16" t="s">
        <v>405</v>
      </c>
      <c r="F26" s="16" t="s">
        <v>406</v>
      </c>
      <c r="G26" s="16" t="s">
        <v>102</v>
      </c>
      <c r="H26" s="16" t="s">
        <v>407</v>
      </c>
      <c r="I26" s="15" t="s">
        <v>78</v>
      </c>
      <c r="J26" s="15" t="s">
        <v>79</v>
      </c>
      <c r="K26" s="17"/>
      <c r="L26" s="18" t="s">
        <v>52</v>
      </c>
      <c r="M26" s="17"/>
      <c r="N26" s="19"/>
      <c r="O26" s="17"/>
    </row>
    <row r="27" spans="1:15" ht="39.6" x14ac:dyDescent="0.3">
      <c r="A27" s="15" t="s">
        <v>408</v>
      </c>
      <c r="B27" s="16" t="s">
        <v>366</v>
      </c>
      <c r="C27" s="16" t="s">
        <v>409</v>
      </c>
      <c r="D27" s="16" t="s">
        <v>410</v>
      </c>
      <c r="E27" s="16" t="s">
        <v>411</v>
      </c>
      <c r="F27" s="16" t="s">
        <v>412</v>
      </c>
      <c r="G27" s="16" t="s">
        <v>102</v>
      </c>
      <c r="H27" s="16" t="s">
        <v>413</v>
      </c>
      <c r="I27" s="15" t="s">
        <v>78</v>
      </c>
      <c r="J27" s="15" t="s">
        <v>79</v>
      </c>
      <c r="K27" s="17"/>
      <c r="L27" s="18" t="s">
        <v>52</v>
      </c>
      <c r="M27" s="17"/>
      <c r="N27" s="19"/>
      <c r="O27" s="17"/>
    </row>
    <row r="28" spans="1:15" ht="26.4" x14ac:dyDescent="0.3">
      <c r="A28" s="15" t="s">
        <v>414</v>
      </c>
      <c r="B28" s="16" t="s">
        <v>366</v>
      </c>
      <c r="C28" s="16" t="s">
        <v>415</v>
      </c>
      <c r="D28" s="16" t="s">
        <v>416</v>
      </c>
      <c r="E28" s="16" t="s">
        <v>417</v>
      </c>
      <c r="F28" s="16" t="s">
        <v>418</v>
      </c>
      <c r="G28" s="16" t="s">
        <v>102</v>
      </c>
      <c r="H28" s="16" t="s">
        <v>419</v>
      </c>
      <c r="I28" s="15" t="s">
        <v>78</v>
      </c>
      <c r="J28" s="15" t="s">
        <v>99</v>
      </c>
      <c r="K28" s="17"/>
      <c r="L28" s="18" t="s">
        <v>52</v>
      </c>
      <c r="M28" s="17"/>
      <c r="N28" s="19"/>
      <c r="O28" s="17"/>
    </row>
    <row r="29" spans="1:15" ht="26.4" x14ac:dyDescent="0.3">
      <c r="A29" s="15" t="s">
        <v>420</v>
      </c>
      <c r="B29" s="16" t="s">
        <v>421</v>
      </c>
      <c r="C29" s="16" t="s">
        <v>422</v>
      </c>
      <c r="D29" s="16" t="s">
        <v>423</v>
      </c>
      <c r="E29" s="16" t="s">
        <v>424</v>
      </c>
      <c r="F29" s="16" t="s">
        <v>425</v>
      </c>
      <c r="G29" s="16" t="s">
        <v>102</v>
      </c>
      <c r="H29" s="16" t="s">
        <v>426</v>
      </c>
      <c r="I29" s="15" t="s">
        <v>106</v>
      </c>
      <c r="J29" s="15" t="s">
        <v>79</v>
      </c>
      <c r="K29" s="17"/>
      <c r="L29" s="18" t="s">
        <v>52</v>
      </c>
      <c r="M29" s="17"/>
      <c r="N29" s="19"/>
      <c r="O29" s="17"/>
    </row>
    <row r="30" spans="1:15" x14ac:dyDescent="0.3">
      <c r="A30" s="15" t="s">
        <v>427</v>
      </c>
      <c r="B30" s="16" t="s">
        <v>421</v>
      </c>
      <c r="C30" s="16" t="s">
        <v>422</v>
      </c>
      <c r="D30" s="16" t="s">
        <v>428</v>
      </c>
      <c r="E30" s="16" t="s">
        <v>102</v>
      </c>
      <c r="F30" s="16" t="s">
        <v>429</v>
      </c>
      <c r="G30" s="16" t="s">
        <v>102</v>
      </c>
      <c r="H30" s="16" t="s">
        <v>430</v>
      </c>
      <c r="I30" s="15" t="s">
        <v>106</v>
      </c>
      <c r="J30" s="15" t="s">
        <v>79</v>
      </c>
      <c r="K30" s="17"/>
      <c r="L30" s="18" t="s">
        <v>52</v>
      </c>
      <c r="M30" s="17"/>
      <c r="N30" s="19"/>
      <c r="O30" s="17"/>
    </row>
    <row r="31" spans="1:15" ht="26.4" x14ac:dyDescent="0.3">
      <c r="A31" s="15" t="s">
        <v>431</v>
      </c>
      <c r="B31" s="16" t="s">
        <v>421</v>
      </c>
      <c r="C31" s="16" t="s">
        <v>432</v>
      </c>
      <c r="D31" s="16" t="s">
        <v>433</v>
      </c>
      <c r="E31" s="16" t="s">
        <v>434</v>
      </c>
      <c r="F31" s="16" t="s">
        <v>435</v>
      </c>
      <c r="G31" s="16" t="s">
        <v>102</v>
      </c>
      <c r="H31" s="16" t="s">
        <v>436</v>
      </c>
      <c r="I31" s="15" t="s">
        <v>126</v>
      </c>
      <c r="J31" s="15" t="s">
        <v>79</v>
      </c>
      <c r="K31" s="17"/>
      <c r="L31" s="18" t="s">
        <v>52</v>
      </c>
      <c r="M31" s="17"/>
      <c r="N31" s="19"/>
      <c r="O31" s="17"/>
    </row>
  </sheetData>
  <autoFilter ref="A1:O31" xr:uid="{00000000-0009-0000-0000-000004000000}"/>
  <conditionalFormatting sqref="I2:I231">
    <cfRule type="expression" dxfId="29" priority="5">
      <formula>$I2="Cao"</formula>
    </cfRule>
  </conditionalFormatting>
  <conditionalFormatting sqref="L2:L231">
    <cfRule type="expression" dxfId="28" priority="1">
      <formula>$L2="Pass"</formula>
    </cfRule>
    <cfRule type="expression" dxfId="27" priority="2">
      <formula>$L2="Fail"</formula>
    </cfRule>
    <cfRule type="expression" dxfId="26" priority="3">
      <formula>$L2="Blocked"</formula>
    </cfRule>
    <cfRule type="expression" dxfId="25" priority="4">
      <formula>$L2="Not Run"</formula>
    </cfRule>
  </conditionalFormatting>
  <dataValidations count="1">
    <dataValidation type="list" errorTitle="Trạng thái không hợp lệ" error="Chọn: Not Run / Pass / Fail / Blocked" sqref="L2:L231" xr:uid="{00000000-0002-0000-0400-000000000000}">
      <formula1>"Not Run,Pass,Fail,Blocked"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1"/>
  <sheetViews>
    <sheetView tabSelected="1" workbookViewId="0">
      <pane xSplit="4" ySplit="1" topLeftCell="J2" activePane="bottomRight" state="frozen"/>
      <selection pane="topRight"/>
      <selection pane="bottomLeft"/>
      <selection pane="bottomRight" activeCell="O2" sqref="O2"/>
    </sheetView>
  </sheetViews>
  <sheetFormatPr defaultRowHeight="14.4" x14ac:dyDescent="0.3"/>
  <cols>
    <col min="1" max="1" width="11" customWidth="1"/>
    <col min="2" max="3" width="18" customWidth="1"/>
    <col min="4" max="4" width="34" customWidth="1"/>
    <col min="5" max="5" width="30" customWidth="1"/>
    <col min="6" max="6" width="44" customWidth="1"/>
    <col min="7" max="7" width="22" customWidth="1"/>
    <col min="8" max="8" width="48" customWidth="1"/>
    <col min="9" max="10" width="11" customWidth="1"/>
    <col min="11" max="11" width="30" customWidth="1"/>
    <col min="12" max="12" width="12" customWidth="1"/>
    <col min="13" max="13" width="14" customWidth="1"/>
    <col min="14" max="14" width="12" customWidth="1"/>
    <col min="15" max="15" width="22" customWidth="1"/>
  </cols>
  <sheetData>
    <row r="1" spans="1:15" ht="30" customHeight="1" x14ac:dyDescent="0.3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14</v>
      </c>
      <c r="J1" s="7" t="s">
        <v>16</v>
      </c>
      <c r="K1" s="7" t="s">
        <v>67</v>
      </c>
      <c r="L1" s="7" t="s">
        <v>8</v>
      </c>
      <c r="M1" s="7" t="s">
        <v>68</v>
      </c>
      <c r="N1" s="7" t="s">
        <v>69</v>
      </c>
      <c r="O1" s="7" t="s">
        <v>70</v>
      </c>
    </row>
    <row r="2" spans="1:15" x14ac:dyDescent="0.3">
      <c r="A2" s="15" t="s">
        <v>437</v>
      </c>
      <c r="B2" s="16" t="s">
        <v>438</v>
      </c>
      <c r="C2" s="16" t="s">
        <v>439</v>
      </c>
      <c r="D2" s="16" t="s">
        <v>440</v>
      </c>
      <c r="E2" s="16" t="s">
        <v>287</v>
      </c>
      <c r="F2" s="16" t="s">
        <v>441</v>
      </c>
      <c r="G2" s="16" t="s">
        <v>102</v>
      </c>
      <c r="H2" s="16" t="s">
        <v>442</v>
      </c>
      <c r="I2" s="15" t="s">
        <v>106</v>
      </c>
      <c r="J2" s="15" t="s">
        <v>79</v>
      </c>
      <c r="K2" s="17"/>
      <c r="L2" s="18" t="s">
        <v>52</v>
      </c>
      <c r="M2" s="17"/>
      <c r="N2" s="19"/>
      <c r="O2" s="17"/>
    </row>
    <row r="3" spans="1:15" x14ac:dyDescent="0.3">
      <c r="A3" s="15" t="s">
        <v>443</v>
      </c>
      <c r="B3" s="16" t="s">
        <v>438</v>
      </c>
      <c r="C3" s="16" t="s">
        <v>444</v>
      </c>
      <c r="D3" s="16" t="s">
        <v>445</v>
      </c>
      <c r="E3" s="16" t="s">
        <v>102</v>
      </c>
      <c r="F3" s="16" t="s">
        <v>446</v>
      </c>
      <c r="G3" s="16" t="s">
        <v>102</v>
      </c>
      <c r="H3" s="16" t="s">
        <v>447</v>
      </c>
      <c r="I3" s="15" t="s">
        <v>126</v>
      </c>
      <c r="J3" s="15" t="s">
        <v>79</v>
      </c>
      <c r="K3" s="17"/>
      <c r="L3" s="18" t="s">
        <v>52</v>
      </c>
      <c r="M3" s="17"/>
      <c r="N3" s="19"/>
      <c r="O3" s="17"/>
    </row>
    <row r="4" spans="1:15" ht="26.4" x14ac:dyDescent="0.3">
      <c r="A4" s="15" t="s">
        <v>448</v>
      </c>
      <c r="B4" s="16" t="s">
        <v>449</v>
      </c>
      <c r="C4" s="16" t="s">
        <v>439</v>
      </c>
      <c r="D4" s="16" t="s">
        <v>450</v>
      </c>
      <c r="E4" s="16" t="s">
        <v>451</v>
      </c>
      <c r="F4" s="16" t="s">
        <v>452</v>
      </c>
      <c r="G4" s="16" t="s">
        <v>102</v>
      </c>
      <c r="H4" s="16" t="s">
        <v>453</v>
      </c>
      <c r="I4" s="15" t="s">
        <v>78</v>
      </c>
      <c r="J4" s="15" t="s">
        <v>79</v>
      </c>
      <c r="K4" s="17"/>
      <c r="L4" s="18" t="s">
        <v>52</v>
      </c>
      <c r="M4" s="17"/>
      <c r="N4" s="19"/>
      <c r="O4" s="17"/>
    </row>
    <row r="5" spans="1:15" x14ac:dyDescent="0.3">
      <c r="A5" s="15" t="s">
        <v>454</v>
      </c>
      <c r="B5" s="16" t="s">
        <v>449</v>
      </c>
      <c r="C5" s="16" t="s">
        <v>439</v>
      </c>
      <c r="D5" s="16" t="s">
        <v>455</v>
      </c>
      <c r="E5" s="16" t="s">
        <v>456</v>
      </c>
      <c r="F5" s="16" t="s">
        <v>457</v>
      </c>
      <c r="G5" s="16" t="s">
        <v>102</v>
      </c>
      <c r="H5" s="16" t="s">
        <v>458</v>
      </c>
      <c r="I5" s="15" t="s">
        <v>126</v>
      </c>
      <c r="J5" s="15" t="s">
        <v>79</v>
      </c>
      <c r="K5" s="17"/>
      <c r="L5" s="18" t="s">
        <v>52</v>
      </c>
      <c r="M5" s="17"/>
      <c r="N5" s="19"/>
      <c r="O5" s="17"/>
    </row>
    <row r="6" spans="1:15" ht="26.4" x14ac:dyDescent="0.3">
      <c r="A6" s="15" t="s">
        <v>459</v>
      </c>
      <c r="B6" s="16" t="s">
        <v>449</v>
      </c>
      <c r="C6" s="16" t="s">
        <v>460</v>
      </c>
      <c r="D6" s="16" t="s">
        <v>461</v>
      </c>
      <c r="E6" s="16" t="s">
        <v>462</v>
      </c>
      <c r="F6" s="16" t="s">
        <v>463</v>
      </c>
      <c r="G6" s="16" t="s">
        <v>102</v>
      </c>
      <c r="H6" s="16" t="s">
        <v>464</v>
      </c>
      <c r="I6" s="15" t="s">
        <v>78</v>
      </c>
      <c r="J6" s="15" t="s">
        <v>79</v>
      </c>
      <c r="K6" s="17"/>
      <c r="L6" s="18" t="s">
        <v>52</v>
      </c>
      <c r="M6" s="17"/>
      <c r="N6" s="19"/>
      <c r="O6" s="17"/>
    </row>
    <row r="7" spans="1:15" ht="39.6" x14ac:dyDescent="0.3">
      <c r="A7" s="15" t="s">
        <v>465</v>
      </c>
      <c r="B7" s="16" t="s">
        <v>449</v>
      </c>
      <c r="C7" s="16" t="s">
        <v>460</v>
      </c>
      <c r="D7" s="16" t="s">
        <v>466</v>
      </c>
      <c r="E7" s="16" t="s">
        <v>102</v>
      </c>
      <c r="F7" s="16" t="s">
        <v>467</v>
      </c>
      <c r="G7" s="16" t="s">
        <v>102</v>
      </c>
      <c r="H7" s="16" t="s">
        <v>468</v>
      </c>
      <c r="I7" s="15" t="s">
        <v>106</v>
      </c>
      <c r="J7" s="15" t="s">
        <v>79</v>
      </c>
      <c r="K7" s="17"/>
      <c r="L7" s="18" t="s">
        <v>52</v>
      </c>
      <c r="M7" s="17"/>
      <c r="N7" s="19"/>
      <c r="O7" s="17"/>
    </row>
    <row r="8" spans="1:15" ht="26.4" x14ac:dyDescent="0.3">
      <c r="A8" s="15" t="s">
        <v>469</v>
      </c>
      <c r="B8" s="16" t="s">
        <v>444</v>
      </c>
      <c r="C8" s="16" t="s">
        <v>470</v>
      </c>
      <c r="D8" s="16" t="s">
        <v>471</v>
      </c>
      <c r="E8" s="16" t="s">
        <v>102</v>
      </c>
      <c r="F8" s="16" t="s">
        <v>472</v>
      </c>
      <c r="G8" s="16" t="s">
        <v>102</v>
      </c>
      <c r="H8" s="16" t="s">
        <v>473</v>
      </c>
      <c r="I8" s="15" t="s">
        <v>78</v>
      </c>
      <c r="J8" s="15" t="s">
        <v>79</v>
      </c>
      <c r="K8" s="17"/>
      <c r="L8" s="18" t="s">
        <v>52</v>
      </c>
      <c r="M8" s="17"/>
      <c r="N8" s="19"/>
      <c r="O8" s="17"/>
    </row>
    <row r="9" spans="1:15" ht="26.4" x14ac:dyDescent="0.3">
      <c r="A9" s="15" t="s">
        <v>474</v>
      </c>
      <c r="B9" s="16" t="s">
        <v>444</v>
      </c>
      <c r="C9" s="16" t="s">
        <v>470</v>
      </c>
      <c r="D9" s="16" t="s">
        <v>475</v>
      </c>
      <c r="E9" s="16" t="s">
        <v>476</v>
      </c>
      <c r="F9" s="16" t="s">
        <v>477</v>
      </c>
      <c r="G9" s="16" t="s">
        <v>102</v>
      </c>
      <c r="H9" s="16" t="s">
        <v>478</v>
      </c>
      <c r="I9" s="15" t="s">
        <v>106</v>
      </c>
      <c r="J9" s="15" t="s">
        <v>79</v>
      </c>
      <c r="K9" s="17"/>
      <c r="L9" s="18" t="s">
        <v>52</v>
      </c>
      <c r="M9" s="17"/>
      <c r="N9" s="19"/>
      <c r="O9" s="17"/>
    </row>
    <row r="10" spans="1:15" ht="52.8" x14ac:dyDescent="0.3">
      <c r="A10" s="15" t="s">
        <v>479</v>
      </c>
      <c r="B10" s="16" t="s">
        <v>444</v>
      </c>
      <c r="C10" s="16" t="s">
        <v>480</v>
      </c>
      <c r="D10" s="16" t="s">
        <v>481</v>
      </c>
      <c r="E10" s="16" t="s">
        <v>482</v>
      </c>
      <c r="F10" s="16" t="s">
        <v>483</v>
      </c>
      <c r="G10" s="16" t="s">
        <v>102</v>
      </c>
      <c r="H10" s="16" t="s">
        <v>484</v>
      </c>
      <c r="I10" s="15" t="s">
        <v>78</v>
      </c>
      <c r="J10" s="15" t="s">
        <v>79</v>
      </c>
      <c r="K10" s="17"/>
      <c r="L10" s="18" t="s">
        <v>52</v>
      </c>
      <c r="M10" s="17"/>
      <c r="N10" s="19"/>
      <c r="O10" s="17"/>
    </row>
    <row r="11" spans="1:15" ht="39.6" x14ac:dyDescent="0.3">
      <c r="A11" s="15" t="s">
        <v>485</v>
      </c>
      <c r="B11" s="16" t="s">
        <v>444</v>
      </c>
      <c r="C11" s="16" t="s">
        <v>480</v>
      </c>
      <c r="D11" s="16" t="s">
        <v>297</v>
      </c>
      <c r="E11" s="16" t="s">
        <v>102</v>
      </c>
      <c r="F11" s="16" t="s">
        <v>486</v>
      </c>
      <c r="G11" s="16" t="s">
        <v>102</v>
      </c>
      <c r="H11" s="16" t="s">
        <v>487</v>
      </c>
      <c r="I11" s="15" t="s">
        <v>106</v>
      </c>
      <c r="J11" s="15" t="s">
        <v>99</v>
      </c>
      <c r="K11" s="17"/>
      <c r="L11" s="18" t="s">
        <v>52</v>
      </c>
      <c r="M11" s="17"/>
      <c r="N11" s="19"/>
      <c r="O11" s="17"/>
    </row>
    <row r="12" spans="1:15" ht="26.4" x14ac:dyDescent="0.3">
      <c r="A12" s="15" t="s">
        <v>488</v>
      </c>
      <c r="B12" s="16" t="s">
        <v>444</v>
      </c>
      <c r="C12" s="16" t="s">
        <v>480</v>
      </c>
      <c r="D12" s="16" t="s">
        <v>489</v>
      </c>
      <c r="E12" s="16" t="s">
        <v>490</v>
      </c>
      <c r="F12" s="16" t="s">
        <v>491</v>
      </c>
      <c r="G12" s="16" t="s">
        <v>102</v>
      </c>
      <c r="H12" s="16" t="s">
        <v>492</v>
      </c>
      <c r="I12" s="15" t="s">
        <v>78</v>
      </c>
      <c r="J12" s="15" t="s">
        <v>112</v>
      </c>
      <c r="K12" s="17"/>
      <c r="L12" s="18" t="s">
        <v>52</v>
      </c>
      <c r="M12" s="17"/>
      <c r="N12" s="19"/>
      <c r="O12" s="17"/>
    </row>
    <row r="13" spans="1:15" ht="26.4" x14ac:dyDescent="0.3">
      <c r="A13" s="15" t="s">
        <v>493</v>
      </c>
      <c r="B13" s="16" t="s">
        <v>444</v>
      </c>
      <c r="C13" s="16" t="s">
        <v>480</v>
      </c>
      <c r="D13" s="16" t="s">
        <v>494</v>
      </c>
      <c r="E13" s="16" t="s">
        <v>495</v>
      </c>
      <c r="F13" s="16" t="s">
        <v>496</v>
      </c>
      <c r="G13" s="16" t="s">
        <v>102</v>
      </c>
      <c r="H13" s="16" t="s">
        <v>497</v>
      </c>
      <c r="I13" s="15" t="s">
        <v>106</v>
      </c>
      <c r="J13" s="15" t="s">
        <v>112</v>
      </c>
      <c r="K13" s="17"/>
      <c r="L13" s="18" t="s">
        <v>52</v>
      </c>
      <c r="M13" s="17"/>
      <c r="N13" s="19"/>
      <c r="O13" s="17"/>
    </row>
    <row r="14" spans="1:15" x14ac:dyDescent="0.3">
      <c r="A14" s="15" t="s">
        <v>498</v>
      </c>
      <c r="B14" s="16" t="s">
        <v>444</v>
      </c>
      <c r="C14" s="16" t="s">
        <v>480</v>
      </c>
      <c r="D14" s="16" t="s">
        <v>499</v>
      </c>
      <c r="E14" s="16" t="s">
        <v>102</v>
      </c>
      <c r="F14" s="16" t="s">
        <v>500</v>
      </c>
      <c r="G14" s="16" t="s">
        <v>102</v>
      </c>
      <c r="H14" s="16" t="s">
        <v>501</v>
      </c>
      <c r="I14" s="15" t="s">
        <v>78</v>
      </c>
      <c r="J14" s="15" t="s">
        <v>99</v>
      </c>
      <c r="K14" s="17"/>
      <c r="L14" s="18" t="s">
        <v>52</v>
      </c>
      <c r="M14" s="17"/>
      <c r="N14" s="19"/>
      <c r="O14" s="17"/>
    </row>
    <row r="15" spans="1:15" ht="26.4" x14ac:dyDescent="0.3">
      <c r="A15" s="15" t="s">
        <v>502</v>
      </c>
      <c r="B15" s="16" t="s">
        <v>444</v>
      </c>
      <c r="C15" s="16" t="s">
        <v>480</v>
      </c>
      <c r="D15" s="16" t="s">
        <v>503</v>
      </c>
      <c r="E15" s="16" t="s">
        <v>504</v>
      </c>
      <c r="F15" s="16" t="s">
        <v>505</v>
      </c>
      <c r="G15" s="16" t="s">
        <v>102</v>
      </c>
      <c r="H15" s="16" t="s">
        <v>506</v>
      </c>
      <c r="I15" s="15" t="s">
        <v>106</v>
      </c>
      <c r="J15" s="15" t="s">
        <v>99</v>
      </c>
      <c r="K15" s="17"/>
      <c r="L15" s="18" t="s">
        <v>52</v>
      </c>
      <c r="M15" s="17"/>
      <c r="N15" s="19"/>
      <c r="O15" s="17"/>
    </row>
    <row r="16" spans="1:15" x14ac:dyDescent="0.3">
      <c r="A16" s="15" t="s">
        <v>507</v>
      </c>
      <c r="B16" s="16" t="s">
        <v>444</v>
      </c>
      <c r="C16" s="16" t="s">
        <v>480</v>
      </c>
      <c r="D16" s="16" t="s">
        <v>508</v>
      </c>
      <c r="E16" s="16" t="s">
        <v>509</v>
      </c>
      <c r="F16" s="16" t="s">
        <v>510</v>
      </c>
      <c r="G16" s="16" t="s">
        <v>102</v>
      </c>
      <c r="H16" s="16" t="s">
        <v>511</v>
      </c>
      <c r="I16" s="15" t="s">
        <v>106</v>
      </c>
      <c r="J16" s="15" t="s">
        <v>99</v>
      </c>
      <c r="K16" s="17"/>
      <c r="L16" s="18" t="s">
        <v>52</v>
      </c>
      <c r="M16" s="17"/>
      <c r="N16" s="19"/>
      <c r="O16" s="17"/>
    </row>
    <row r="17" spans="1:15" x14ac:dyDescent="0.3">
      <c r="A17" s="15" t="s">
        <v>512</v>
      </c>
      <c r="B17" s="16" t="s">
        <v>444</v>
      </c>
      <c r="C17" s="16" t="s">
        <v>480</v>
      </c>
      <c r="D17" s="16" t="s">
        <v>513</v>
      </c>
      <c r="E17" s="16" t="s">
        <v>102</v>
      </c>
      <c r="F17" s="16" t="s">
        <v>514</v>
      </c>
      <c r="G17" s="16" t="s">
        <v>102</v>
      </c>
      <c r="H17" s="16" t="s">
        <v>515</v>
      </c>
      <c r="I17" s="15" t="s">
        <v>106</v>
      </c>
      <c r="J17" s="15" t="s">
        <v>99</v>
      </c>
      <c r="K17" s="17"/>
      <c r="L17" s="18" t="s">
        <v>52</v>
      </c>
      <c r="M17" s="17"/>
      <c r="N17" s="19"/>
      <c r="O17" s="17"/>
    </row>
    <row r="18" spans="1:15" ht="66" x14ac:dyDescent="0.3">
      <c r="A18" s="15" t="s">
        <v>516</v>
      </c>
      <c r="B18" s="16" t="s">
        <v>444</v>
      </c>
      <c r="C18" s="16" t="s">
        <v>517</v>
      </c>
      <c r="D18" s="16" t="s">
        <v>518</v>
      </c>
      <c r="E18" s="16" t="s">
        <v>519</v>
      </c>
      <c r="F18" s="16" t="s">
        <v>520</v>
      </c>
      <c r="G18" s="16" t="s">
        <v>102</v>
      </c>
      <c r="H18" s="16" t="s">
        <v>521</v>
      </c>
      <c r="I18" s="15" t="s">
        <v>78</v>
      </c>
      <c r="J18" s="15" t="s">
        <v>79</v>
      </c>
      <c r="K18" s="17"/>
      <c r="L18" s="18" t="s">
        <v>52</v>
      </c>
      <c r="M18" s="17"/>
      <c r="N18" s="19"/>
      <c r="O18" s="17"/>
    </row>
    <row r="19" spans="1:15" ht="52.8" x14ac:dyDescent="0.3">
      <c r="A19" s="15" t="s">
        <v>522</v>
      </c>
      <c r="B19" s="16" t="s">
        <v>444</v>
      </c>
      <c r="C19" s="16" t="s">
        <v>517</v>
      </c>
      <c r="D19" s="16" t="s">
        <v>523</v>
      </c>
      <c r="E19" s="16" t="s">
        <v>102</v>
      </c>
      <c r="F19" s="16" t="s">
        <v>524</v>
      </c>
      <c r="G19" s="16" t="s">
        <v>102</v>
      </c>
      <c r="H19" s="16" t="s">
        <v>525</v>
      </c>
      <c r="I19" s="15" t="s">
        <v>78</v>
      </c>
      <c r="J19" s="15" t="s">
        <v>99</v>
      </c>
      <c r="K19" s="17"/>
      <c r="L19" s="18" t="s">
        <v>52</v>
      </c>
      <c r="M19" s="17"/>
      <c r="N19" s="19"/>
      <c r="O19" s="17"/>
    </row>
    <row r="20" spans="1:15" ht="26.4" x14ac:dyDescent="0.3">
      <c r="A20" s="15" t="s">
        <v>526</v>
      </c>
      <c r="B20" s="16" t="s">
        <v>444</v>
      </c>
      <c r="C20" s="16" t="s">
        <v>517</v>
      </c>
      <c r="D20" s="16" t="s">
        <v>527</v>
      </c>
      <c r="E20" s="16" t="s">
        <v>102</v>
      </c>
      <c r="F20" s="16" t="s">
        <v>528</v>
      </c>
      <c r="G20" s="16" t="s">
        <v>102</v>
      </c>
      <c r="H20" s="16" t="s">
        <v>529</v>
      </c>
      <c r="I20" s="15" t="s">
        <v>106</v>
      </c>
      <c r="J20" s="15" t="s">
        <v>99</v>
      </c>
      <c r="K20" s="17"/>
      <c r="L20" s="18" t="s">
        <v>52</v>
      </c>
      <c r="M20" s="17"/>
      <c r="N20" s="19"/>
      <c r="O20" s="17"/>
    </row>
    <row r="21" spans="1:15" x14ac:dyDescent="0.3">
      <c r="A21" s="15" t="s">
        <v>530</v>
      </c>
      <c r="B21" s="16" t="s">
        <v>444</v>
      </c>
      <c r="C21" s="16" t="s">
        <v>517</v>
      </c>
      <c r="D21" s="16" t="s">
        <v>531</v>
      </c>
      <c r="E21" s="16" t="s">
        <v>102</v>
      </c>
      <c r="F21" s="16" t="s">
        <v>532</v>
      </c>
      <c r="G21" s="16" t="s">
        <v>102</v>
      </c>
      <c r="H21" s="16" t="s">
        <v>533</v>
      </c>
      <c r="I21" s="15" t="s">
        <v>106</v>
      </c>
      <c r="J21" s="15" t="s">
        <v>99</v>
      </c>
      <c r="K21" s="17"/>
      <c r="L21" s="18" t="s">
        <v>52</v>
      </c>
      <c r="M21" s="17"/>
      <c r="N21" s="19"/>
      <c r="O21" s="17"/>
    </row>
    <row r="22" spans="1:15" x14ac:dyDescent="0.3">
      <c r="A22" s="15" t="s">
        <v>534</v>
      </c>
      <c r="B22" s="16" t="s">
        <v>444</v>
      </c>
      <c r="C22" s="16" t="s">
        <v>517</v>
      </c>
      <c r="D22" s="16" t="s">
        <v>535</v>
      </c>
      <c r="E22" s="16" t="s">
        <v>102</v>
      </c>
      <c r="F22" s="16" t="s">
        <v>536</v>
      </c>
      <c r="G22" s="16" t="s">
        <v>102</v>
      </c>
      <c r="H22" s="16" t="s">
        <v>537</v>
      </c>
      <c r="I22" s="15" t="s">
        <v>106</v>
      </c>
      <c r="J22" s="15" t="s">
        <v>99</v>
      </c>
      <c r="K22" s="17"/>
      <c r="L22" s="18" t="s">
        <v>52</v>
      </c>
      <c r="M22" s="17"/>
      <c r="N22" s="19"/>
      <c r="O22" s="17"/>
    </row>
    <row r="23" spans="1:15" ht="26.4" x14ac:dyDescent="0.3">
      <c r="A23" s="15" t="s">
        <v>538</v>
      </c>
      <c r="B23" s="16" t="s">
        <v>444</v>
      </c>
      <c r="C23" s="16" t="s">
        <v>517</v>
      </c>
      <c r="D23" s="16" t="s">
        <v>539</v>
      </c>
      <c r="E23" s="16" t="s">
        <v>102</v>
      </c>
      <c r="F23" s="16" t="s">
        <v>540</v>
      </c>
      <c r="G23" s="16" t="s">
        <v>102</v>
      </c>
      <c r="H23" s="16" t="s">
        <v>541</v>
      </c>
      <c r="I23" s="15" t="s">
        <v>106</v>
      </c>
      <c r="J23" s="15" t="s">
        <v>99</v>
      </c>
      <c r="K23" s="17"/>
      <c r="L23" s="18" t="s">
        <v>52</v>
      </c>
      <c r="M23" s="17"/>
      <c r="N23" s="19"/>
      <c r="O23" s="17"/>
    </row>
    <row r="24" spans="1:15" ht="26.4" x14ac:dyDescent="0.3">
      <c r="A24" s="15" t="s">
        <v>542</v>
      </c>
      <c r="B24" s="16" t="s">
        <v>444</v>
      </c>
      <c r="C24" s="16" t="s">
        <v>517</v>
      </c>
      <c r="D24" s="16" t="s">
        <v>543</v>
      </c>
      <c r="E24" s="16" t="s">
        <v>544</v>
      </c>
      <c r="F24" s="16" t="s">
        <v>545</v>
      </c>
      <c r="G24" s="16" t="s">
        <v>102</v>
      </c>
      <c r="H24" s="16" t="s">
        <v>546</v>
      </c>
      <c r="I24" s="15" t="s">
        <v>126</v>
      </c>
      <c r="J24" s="15" t="s">
        <v>99</v>
      </c>
      <c r="K24" s="17"/>
      <c r="L24" s="18" t="s">
        <v>52</v>
      </c>
      <c r="M24" s="17"/>
      <c r="N24" s="19"/>
      <c r="O24" s="17"/>
    </row>
    <row r="25" spans="1:15" x14ac:dyDescent="0.3">
      <c r="A25" s="15" t="s">
        <v>547</v>
      </c>
      <c r="B25" s="16" t="s">
        <v>444</v>
      </c>
      <c r="C25" s="16" t="s">
        <v>517</v>
      </c>
      <c r="D25" s="16" t="s">
        <v>548</v>
      </c>
      <c r="E25" s="16" t="s">
        <v>102</v>
      </c>
      <c r="F25" s="16" t="s">
        <v>549</v>
      </c>
      <c r="G25" s="16" t="s">
        <v>102</v>
      </c>
      <c r="H25" s="16" t="s">
        <v>550</v>
      </c>
      <c r="I25" s="15" t="s">
        <v>126</v>
      </c>
      <c r="J25" s="15" t="s">
        <v>99</v>
      </c>
      <c r="K25" s="17"/>
      <c r="L25" s="18" t="s">
        <v>52</v>
      </c>
      <c r="M25" s="17"/>
      <c r="N25" s="19"/>
      <c r="O25" s="17"/>
    </row>
    <row r="26" spans="1:15" ht="26.4" x14ac:dyDescent="0.3">
      <c r="A26" s="15" t="s">
        <v>551</v>
      </c>
      <c r="B26" s="16" t="s">
        <v>444</v>
      </c>
      <c r="C26" s="16" t="s">
        <v>517</v>
      </c>
      <c r="D26" s="16" t="s">
        <v>552</v>
      </c>
      <c r="E26" s="16" t="s">
        <v>553</v>
      </c>
      <c r="F26" s="16" t="s">
        <v>554</v>
      </c>
      <c r="G26" s="16" t="s">
        <v>102</v>
      </c>
      <c r="H26" s="16" t="s">
        <v>555</v>
      </c>
      <c r="I26" s="15" t="s">
        <v>106</v>
      </c>
      <c r="J26" s="15" t="s">
        <v>99</v>
      </c>
      <c r="K26" s="17"/>
      <c r="L26" s="18" t="s">
        <v>52</v>
      </c>
      <c r="M26" s="17"/>
      <c r="N26" s="19"/>
      <c r="O26" s="17"/>
    </row>
    <row r="27" spans="1:15" ht="39.6" x14ac:dyDescent="0.3">
      <c r="A27" s="15" t="s">
        <v>556</v>
      </c>
      <c r="B27" s="16" t="s">
        <v>444</v>
      </c>
      <c r="C27" s="16" t="s">
        <v>517</v>
      </c>
      <c r="D27" s="16" t="s">
        <v>557</v>
      </c>
      <c r="E27" s="16" t="s">
        <v>102</v>
      </c>
      <c r="F27" s="16" t="s">
        <v>558</v>
      </c>
      <c r="G27" s="16" t="s">
        <v>102</v>
      </c>
      <c r="H27" s="16" t="s">
        <v>559</v>
      </c>
      <c r="I27" s="15" t="s">
        <v>126</v>
      </c>
      <c r="J27" s="15" t="s">
        <v>79</v>
      </c>
      <c r="K27" s="17"/>
      <c r="L27" s="18" t="s">
        <v>52</v>
      </c>
      <c r="M27" s="17"/>
      <c r="N27" s="19"/>
      <c r="O27" s="17"/>
    </row>
    <row r="28" spans="1:15" ht="52.8" x14ac:dyDescent="0.3">
      <c r="A28" s="15" t="s">
        <v>560</v>
      </c>
      <c r="B28" s="16" t="s">
        <v>444</v>
      </c>
      <c r="C28" s="16" t="s">
        <v>561</v>
      </c>
      <c r="D28" s="16" t="s">
        <v>562</v>
      </c>
      <c r="E28" s="16" t="s">
        <v>563</v>
      </c>
      <c r="F28" s="16" t="s">
        <v>564</v>
      </c>
      <c r="G28" s="16" t="s">
        <v>102</v>
      </c>
      <c r="H28" s="16" t="s">
        <v>565</v>
      </c>
      <c r="I28" s="15" t="s">
        <v>78</v>
      </c>
      <c r="J28" s="15" t="s">
        <v>79</v>
      </c>
      <c r="K28" s="17"/>
      <c r="L28" s="18" t="s">
        <v>52</v>
      </c>
      <c r="M28" s="17"/>
      <c r="N28" s="19"/>
      <c r="O28" s="17"/>
    </row>
    <row r="29" spans="1:15" ht="52.8" x14ac:dyDescent="0.3">
      <c r="A29" s="15" t="s">
        <v>566</v>
      </c>
      <c r="B29" s="16" t="s">
        <v>444</v>
      </c>
      <c r="C29" s="16" t="s">
        <v>561</v>
      </c>
      <c r="D29" s="16" t="s">
        <v>567</v>
      </c>
      <c r="E29" s="16" t="s">
        <v>102</v>
      </c>
      <c r="F29" s="16" t="s">
        <v>568</v>
      </c>
      <c r="G29" s="16" t="s">
        <v>102</v>
      </c>
      <c r="H29" s="16" t="s">
        <v>569</v>
      </c>
      <c r="I29" s="15" t="s">
        <v>106</v>
      </c>
      <c r="J29" s="15" t="s">
        <v>99</v>
      </c>
      <c r="K29" s="17"/>
      <c r="L29" s="18" t="s">
        <v>52</v>
      </c>
      <c r="M29" s="17"/>
      <c r="N29" s="19"/>
      <c r="O29" s="17"/>
    </row>
    <row r="30" spans="1:15" ht="26.4" x14ac:dyDescent="0.3">
      <c r="A30" s="15" t="s">
        <v>570</v>
      </c>
      <c r="B30" s="16" t="s">
        <v>444</v>
      </c>
      <c r="C30" s="16" t="s">
        <v>561</v>
      </c>
      <c r="D30" s="16" t="s">
        <v>571</v>
      </c>
      <c r="E30" s="16" t="s">
        <v>572</v>
      </c>
      <c r="F30" s="16" t="s">
        <v>573</v>
      </c>
      <c r="G30" s="16" t="s">
        <v>102</v>
      </c>
      <c r="H30" s="16" t="s">
        <v>574</v>
      </c>
      <c r="I30" s="15" t="s">
        <v>106</v>
      </c>
      <c r="J30" s="15" t="s">
        <v>99</v>
      </c>
      <c r="K30" s="17"/>
      <c r="L30" s="18" t="s">
        <v>52</v>
      </c>
      <c r="M30" s="17"/>
      <c r="N30" s="19"/>
      <c r="O30" s="17"/>
    </row>
    <row r="31" spans="1:15" x14ac:dyDescent="0.3">
      <c r="A31" s="15" t="s">
        <v>575</v>
      </c>
      <c r="B31" s="16" t="s">
        <v>576</v>
      </c>
      <c r="C31" s="16" t="s">
        <v>577</v>
      </c>
      <c r="D31" s="16" t="s">
        <v>578</v>
      </c>
      <c r="E31" s="16" t="s">
        <v>102</v>
      </c>
      <c r="F31" s="16" t="s">
        <v>579</v>
      </c>
      <c r="G31" s="16" t="s">
        <v>102</v>
      </c>
      <c r="H31" s="16" t="s">
        <v>580</v>
      </c>
      <c r="I31" s="15" t="s">
        <v>106</v>
      </c>
      <c r="J31" s="15" t="s">
        <v>79</v>
      </c>
      <c r="K31" s="17"/>
      <c r="L31" s="18" t="s">
        <v>52</v>
      </c>
      <c r="M31" s="17"/>
      <c r="N31" s="19"/>
      <c r="O31" s="17"/>
    </row>
    <row r="32" spans="1:15" ht="39.6" x14ac:dyDescent="0.3">
      <c r="A32" s="15" t="s">
        <v>581</v>
      </c>
      <c r="B32" s="16" t="s">
        <v>576</v>
      </c>
      <c r="C32" s="16" t="s">
        <v>133</v>
      </c>
      <c r="D32" s="16" t="s">
        <v>582</v>
      </c>
      <c r="E32" s="16" t="s">
        <v>583</v>
      </c>
      <c r="F32" s="16" t="s">
        <v>584</v>
      </c>
      <c r="G32" s="16" t="s">
        <v>102</v>
      </c>
      <c r="H32" s="16" t="s">
        <v>585</v>
      </c>
      <c r="I32" s="15" t="s">
        <v>78</v>
      </c>
      <c r="J32" s="15" t="s">
        <v>79</v>
      </c>
      <c r="K32" s="17"/>
      <c r="L32" s="18" t="s">
        <v>52</v>
      </c>
      <c r="M32" s="17"/>
      <c r="N32" s="19"/>
      <c r="O32" s="17"/>
    </row>
    <row r="33" spans="1:15" x14ac:dyDescent="0.3">
      <c r="A33" s="15" t="s">
        <v>586</v>
      </c>
      <c r="B33" s="16" t="s">
        <v>576</v>
      </c>
      <c r="C33" s="16" t="s">
        <v>133</v>
      </c>
      <c r="D33" s="16" t="s">
        <v>587</v>
      </c>
      <c r="E33" s="16" t="s">
        <v>588</v>
      </c>
      <c r="F33" s="16" t="s">
        <v>589</v>
      </c>
      <c r="G33" s="16" t="s">
        <v>102</v>
      </c>
      <c r="H33" s="16" t="s">
        <v>590</v>
      </c>
      <c r="I33" s="15" t="s">
        <v>78</v>
      </c>
      <c r="J33" s="15" t="s">
        <v>112</v>
      </c>
      <c r="K33" s="17"/>
      <c r="L33" s="18" t="s">
        <v>52</v>
      </c>
      <c r="M33" s="17"/>
      <c r="N33" s="19"/>
      <c r="O33" s="17"/>
    </row>
    <row r="34" spans="1:15" ht="26.4" x14ac:dyDescent="0.3">
      <c r="A34" s="15" t="s">
        <v>591</v>
      </c>
      <c r="B34" s="16" t="s">
        <v>576</v>
      </c>
      <c r="C34" s="16" t="s">
        <v>133</v>
      </c>
      <c r="D34" s="16" t="s">
        <v>592</v>
      </c>
      <c r="E34" s="16" t="s">
        <v>593</v>
      </c>
      <c r="F34" s="16" t="s">
        <v>589</v>
      </c>
      <c r="G34" s="16" t="s">
        <v>102</v>
      </c>
      <c r="H34" s="16" t="s">
        <v>594</v>
      </c>
      <c r="I34" s="15" t="s">
        <v>106</v>
      </c>
      <c r="J34" s="15" t="s">
        <v>99</v>
      </c>
      <c r="K34" s="17"/>
      <c r="L34" s="18" t="s">
        <v>52</v>
      </c>
      <c r="M34" s="17"/>
      <c r="N34" s="19"/>
      <c r="O34" s="17"/>
    </row>
    <row r="35" spans="1:15" x14ac:dyDescent="0.3">
      <c r="A35" s="15" t="s">
        <v>595</v>
      </c>
      <c r="B35" s="16" t="s">
        <v>576</v>
      </c>
      <c r="C35" s="16" t="s">
        <v>133</v>
      </c>
      <c r="D35" s="16" t="s">
        <v>596</v>
      </c>
      <c r="E35" s="16" t="s">
        <v>102</v>
      </c>
      <c r="F35" s="16" t="s">
        <v>597</v>
      </c>
      <c r="G35" s="16" t="s">
        <v>102</v>
      </c>
      <c r="H35" s="16" t="s">
        <v>598</v>
      </c>
      <c r="I35" s="15" t="s">
        <v>106</v>
      </c>
      <c r="J35" s="15" t="s">
        <v>112</v>
      </c>
      <c r="K35" s="17"/>
      <c r="L35" s="18" t="s">
        <v>52</v>
      </c>
      <c r="M35" s="17"/>
      <c r="N35" s="19"/>
      <c r="O35" s="17"/>
    </row>
    <row r="36" spans="1:15" x14ac:dyDescent="0.3">
      <c r="A36" s="15" t="s">
        <v>599</v>
      </c>
      <c r="B36" s="16" t="s">
        <v>576</v>
      </c>
      <c r="C36" s="16" t="s">
        <v>133</v>
      </c>
      <c r="D36" s="16" t="s">
        <v>600</v>
      </c>
      <c r="E36" s="16" t="s">
        <v>601</v>
      </c>
      <c r="F36" s="16" t="s">
        <v>602</v>
      </c>
      <c r="G36" s="16" t="s">
        <v>102</v>
      </c>
      <c r="H36" s="16" t="s">
        <v>603</v>
      </c>
      <c r="I36" s="15" t="s">
        <v>106</v>
      </c>
      <c r="J36" s="15" t="s">
        <v>99</v>
      </c>
      <c r="K36" s="17"/>
      <c r="L36" s="18" t="s">
        <v>52</v>
      </c>
      <c r="M36" s="17"/>
      <c r="N36" s="19"/>
      <c r="O36" s="17"/>
    </row>
    <row r="37" spans="1:15" ht="26.4" x14ac:dyDescent="0.3">
      <c r="A37" s="15" t="s">
        <v>604</v>
      </c>
      <c r="B37" s="16" t="s">
        <v>576</v>
      </c>
      <c r="C37" s="16" t="s">
        <v>133</v>
      </c>
      <c r="D37" s="16" t="s">
        <v>605</v>
      </c>
      <c r="E37" s="16" t="s">
        <v>102</v>
      </c>
      <c r="F37" s="16" t="s">
        <v>606</v>
      </c>
      <c r="G37" s="16" t="s">
        <v>102</v>
      </c>
      <c r="H37" s="16" t="s">
        <v>607</v>
      </c>
      <c r="I37" s="15" t="s">
        <v>106</v>
      </c>
      <c r="J37" s="15" t="s">
        <v>99</v>
      </c>
      <c r="K37" s="17"/>
      <c r="L37" s="18" t="s">
        <v>52</v>
      </c>
      <c r="M37" s="17"/>
      <c r="N37" s="19"/>
      <c r="O37" s="17"/>
    </row>
    <row r="38" spans="1:15" x14ac:dyDescent="0.3">
      <c r="A38" s="15" t="s">
        <v>608</v>
      </c>
      <c r="B38" s="16" t="s">
        <v>576</v>
      </c>
      <c r="C38" s="16" t="s">
        <v>609</v>
      </c>
      <c r="D38" s="16" t="s">
        <v>610</v>
      </c>
      <c r="E38" s="16" t="s">
        <v>611</v>
      </c>
      <c r="F38" s="16" t="s">
        <v>612</v>
      </c>
      <c r="G38" s="16" t="s">
        <v>102</v>
      </c>
      <c r="H38" s="16" t="s">
        <v>613</v>
      </c>
      <c r="I38" s="15" t="s">
        <v>78</v>
      </c>
      <c r="J38" s="15" t="s">
        <v>112</v>
      </c>
      <c r="K38" s="17"/>
      <c r="L38" s="18" t="s">
        <v>52</v>
      </c>
      <c r="M38" s="17"/>
      <c r="N38" s="19"/>
      <c r="O38" s="17"/>
    </row>
    <row r="39" spans="1:15" ht="26.4" x14ac:dyDescent="0.3">
      <c r="A39" s="15" t="s">
        <v>614</v>
      </c>
      <c r="B39" s="16" t="s">
        <v>576</v>
      </c>
      <c r="C39" s="16" t="s">
        <v>615</v>
      </c>
      <c r="D39" s="16" t="s">
        <v>616</v>
      </c>
      <c r="E39" s="16" t="s">
        <v>617</v>
      </c>
      <c r="F39" s="16" t="s">
        <v>618</v>
      </c>
      <c r="G39" s="16" t="s">
        <v>102</v>
      </c>
      <c r="H39" s="16" t="s">
        <v>619</v>
      </c>
      <c r="I39" s="15" t="s">
        <v>78</v>
      </c>
      <c r="J39" s="15" t="s">
        <v>112</v>
      </c>
      <c r="K39" s="17"/>
      <c r="L39" s="18" t="s">
        <v>52</v>
      </c>
      <c r="M39" s="17"/>
      <c r="N39" s="19"/>
      <c r="O39" s="17"/>
    </row>
    <row r="40" spans="1:15" ht="26.4" x14ac:dyDescent="0.3">
      <c r="A40" s="15" t="s">
        <v>620</v>
      </c>
      <c r="B40" s="16" t="s">
        <v>576</v>
      </c>
      <c r="C40" s="16" t="s">
        <v>615</v>
      </c>
      <c r="D40" s="16" t="s">
        <v>621</v>
      </c>
      <c r="E40" s="16" t="s">
        <v>622</v>
      </c>
      <c r="F40" s="16" t="s">
        <v>623</v>
      </c>
      <c r="G40" s="16" t="s">
        <v>102</v>
      </c>
      <c r="H40" s="16" t="s">
        <v>624</v>
      </c>
      <c r="I40" s="15" t="s">
        <v>78</v>
      </c>
      <c r="J40" s="15" t="s">
        <v>112</v>
      </c>
      <c r="K40" s="17"/>
      <c r="L40" s="18" t="s">
        <v>52</v>
      </c>
      <c r="M40" s="17"/>
      <c r="N40" s="19"/>
      <c r="O40" s="17"/>
    </row>
    <row r="41" spans="1:15" ht="26.4" x14ac:dyDescent="0.3">
      <c r="A41" s="15" t="s">
        <v>625</v>
      </c>
      <c r="B41" s="16" t="s">
        <v>576</v>
      </c>
      <c r="C41" s="16" t="s">
        <v>626</v>
      </c>
      <c r="D41" s="16" t="s">
        <v>627</v>
      </c>
      <c r="E41" s="16" t="s">
        <v>628</v>
      </c>
      <c r="F41" s="16" t="s">
        <v>629</v>
      </c>
      <c r="G41" s="16" t="s">
        <v>102</v>
      </c>
      <c r="H41" s="16" t="s">
        <v>630</v>
      </c>
      <c r="I41" s="15" t="s">
        <v>78</v>
      </c>
      <c r="J41" s="15" t="s">
        <v>79</v>
      </c>
      <c r="K41" s="17"/>
      <c r="L41" s="18" t="s">
        <v>52</v>
      </c>
      <c r="M41" s="17"/>
      <c r="N41" s="19"/>
      <c r="O41" s="17"/>
    </row>
    <row r="42" spans="1:15" ht="26.4" x14ac:dyDescent="0.3">
      <c r="A42" s="15" t="s">
        <v>631</v>
      </c>
      <c r="B42" s="16" t="s">
        <v>576</v>
      </c>
      <c r="C42" s="16" t="s">
        <v>626</v>
      </c>
      <c r="D42" s="16" t="s">
        <v>632</v>
      </c>
      <c r="E42" s="16" t="s">
        <v>587</v>
      </c>
      <c r="F42" s="16" t="s">
        <v>629</v>
      </c>
      <c r="G42" s="16" t="s">
        <v>102</v>
      </c>
      <c r="H42" s="16" t="s">
        <v>633</v>
      </c>
      <c r="I42" s="15" t="s">
        <v>78</v>
      </c>
      <c r="J42" s="15" t="s">
        <v>112</v>
      </c>
      <c r="K42" s="17"/>
      <c r="L42" s="18" t="s">
        <v>52</v>
      </c>
      <c r="M42" s="17"/>
      <c r="N42" s="19"/>
      <c r="O42" s="17"/>
    </row>
    <row r="43" spans="1:15" ht="39.6" x14ac:dyDescent="0.3">
      <c r="A43" s="15" t="s">
        <v>634</v>
      </c>
      <c r="B43" s="16" t="s">
        <v>635</v>
      </c>
      <c r="C43" s="16" t="s">
        <v>439</v>
      </c>
      <c r="D43" s="16" t="s">
        <v>636</v>
      </c>
      <c r="E43" s="16" t="s">
        <v>637</v>
      </c>
      <c r="F43" s="16" t="s">
        <v>638</v>
      </c>
      <c r="G43" s="16" t="s">
        <v>102</v>
      </c>
      <c r="H43" s="16" t="s">
        <v>639</v>
      </c>
      <c r="I43" s="15" t="s">
        <v>78</v>
      </c>
      <c r="J43" s="15" t="s">
        <v>79</v>
      </c>
      <c r="K43" s="17"/>
      <c r="L43" s="18" t="s">
        <v>52</v>
      </c>
      <c r="M43" s="17"/>
      <c r="N43" s="19"/>
      <c r="O43" s="17"/>
    </row>
    <row r="44" spans="1:15" ht="26.4" x14ac:dyDescent="0.3">
      <c r="A44" s="15" t="s">
        <v>640</v>
      </c>
      <c r="B44" s="16" t="s">
        <v>635</v>
      </c>
      <c r="C44" s="16" t="s">
        <v>641</v>
      </c>
      <c r="D44" s="16" t="s">
        <v>642</v>
      </c>
      <c r="E44" s="16" t="s">
        <v>102</v>
      </c>
      <c r="F44" s="16" t="s">
        <v>643</v>
      </c>
      <c r="G44" s="16" t="s">
        <v>102</v>
      </c>
      <c r="H44" s="16" t="s">
        <v>644</v>
      </c>
      <c r="I44" s="15" t="s">
        <v>106</v>
      </c>
      <c r="J44" s="15" t="s">
        <v>79</v>
      </c>
      <c r="K44" s="17"/>
      <c r="L44" s="18" t="s">
        <v>52</v>
      </c>
      <c r="M44" s="17"/>
      <c r="N44" s="19"/>
      <c r="O44" s="17"/>
    </row>
    <row r="45" spans="1:15" ht="26.4" x14ac:dyDescent="0.3">
      <c r="A45" s="15" t="s">
        <v>645</v>
      </c>
      <c r="B45" s="16" t="s">
        <v>646</v>
      </c>
      <c r="C45" s="16" t="s">
        <v>647</v>
      </c>
      <c r="D45" s="16" t="s">
        <v>648</v>
      </c>
      <c r="E45" s="16" t="s">
        <v>102</v>
      </c>
      <c r="F45" s="16" t="s">
        <v>649</v>
      </c>
      <c r="G45" s="16" t="s">
        <v>102</v>
      </c>
      <c r="H45" s="16" t="s">
        <v>650</v>
      </c>
      <c r="I45" s="15" t="s">
        <v>106</v>
      </c>
      <c r="J45" s="15" t="s">
        <v>79</v>
      </c>
      <c r="K45" s="17"/>
      <c r="L45" s="18" t="s">
        <v>52</v>
      </c>
      <c r="M45" s="17"/>
      <c r="N45" s="19"/>
      <c r="O45" s="17"/>
    </row>
    <row r="46" spans="1:15" ht="52.8" x14ac:dyDescent="0.3">
      <c r="A46" s="15" t="s">
        <v>651</v>
      </c>
      <c r="B46" s="16" t="s">
        <v>646</v>
      </c>
      <c r="C46" s="16" t="s">
        <v>652</v>
      </c>
      <c r="D46" s="16" t="s">
        <v>653</v>
      </c>
      <c r="E46" s="16" t="s">
        <v>102</v>
      </c>
      <c r="F46" s="16" t="s">
        <v>654</v>
      </c>
      <c r="G46" s="16" t="s">
        <v>102</v>
      </c>
      <c r="H46" s="16" t="s">
        <v>655</v>
      </c>
      <c r="I46" s="15" t="s">
        <v>106</v>
      </c>
      <c r="J46" s="15" t="s">
        <v>79</v>
      </c>
      <c r="K46" s="17"/>
      <c r="L46" s="18" t="s">
        <v>52</v>
      </c>
      <c r="M46" s="17"/>
      <c r="N46" s="19"/>
      <c r="O46" s="17"/>
    </row>
    <row r="47" spans="1:15" ht="52.8" x14ac:dyDescent="0.3">
      <c r="A47" s="15" t="s">
        <v>656</v>
      </c>
      <c r="B47" s="16" t="s">
        <v>646</v>
      </c>
      <c r="C47" s="16" t="s">
        <v>657</v>
      </c>
      <c r="D47" s="16" t="s">
        <v>657</v>
      </c>
      <c r="E47" s="16" t="s">
        <v>102</v>
      </c>
      <c r="F47" s="16" t="s">
        <v>658</v>
      </c>
      <c r="G47" s="16" t="s">
        <v>102</v>
      </c>
      <c r="H47" s="16" t="s">
        <v>659</v>
      </c>
      <c r="I47" s="15" t="s">
        <v>106</v>
      </c>
      <c r="J47" s="15" t="s">
        <v>79</v>
      </c>
      <c r="K47" s="17"/>
      <c r="L47" s="18" t="s">
        <v>52</v>
      </c>
      <c r="M47" s="17"/>
      <c r="N47" s="19"/>
      <c r="O47" s="17"/>
    </row>
    <row r="48" spans="1:15" ht="39.6" x14ac:dyDescent="0.3">
      <c r="A48" s="15" t="s">
        <v>660</v>
      </c>
      <c r="B48" s="16" t="s">
        <v>661</v>
      </c>
      <c r="C48" s="16" t="s">
        <v>421</v>
      </c>
      <c r="D48" s="16" t="s">
        <v>662</v>
      </c>
      <c r="E48" s="16" t="s">
        <v>663</v>
      </c>
      <c r="F48" s="16" t="s">
        <v>664</v>
      </c>
      <c r="G48" s="16" t="s">
        <v>102</v>
      </c>
      <c r="H48" s="16" t="s">
        <v>665</v>
      </c>
      <c r="I48" s="15" t="s">
        <v>106</v>
      </c>
      <c r="J48" s="15" t="s">
        <v>79</v>
      </c>
      <c r="K48" s="17"/>
      <c r="L48" s="18" t="s">
        <v>52</v>
      </c>
      <c r="M48" s="17"/>
      <c r="N48" s="19"/>
      <c r="O48" s="17"/>
    </row>
    <row r="49" spans="1:15" ht="39.6" x14ac:dyDescent="0.3">
      <c r="A49" s="15" t="s">
        <v>666</v>
      </c>
      <c r="B49" s="16" t="s">
        <v>661</v>
      </c>
      <c r="C49" s="16" t="s">
        <v>667</v>
      </c>
      <c r="D49" s="16" t="s">
        <v>668</v>
      </c>
      <c r="E49" s="16" t="s">
        <v>669</v>
      </c>
      <c r="F49" s="16" t="s">
        <v>670</v>
      </c>
      <c r="G49" s="16" t="s">
        <v>102</v>
      </c>
      <c r="H49" s="16" t="s">
        <v>671</v>
      </c>
      <c r="I49" s="15" t="s">
        <v>78</v>
      </c>
      <c r="J49" s="15" t="s">
        <v>79</v>
      </c>
      <c r="K49" s="17"/>
      <c r="L49" s="18" t="s">
        <v>52</v>
      </c>
      <c r="M49" s="17"/>
      <c r="N49" s="19"/>
      <c r="O49" s="17"/>
    </row>
    <row r="50" spans="1:15" ht="26.4" x14ac:dyDescent="0.3">
      <c r="A50" s="15" t="s">
        <v>672</v>
      </c>
      <c r="B50" s="16" t="s">
        <v>661</v>
      </c>
      <c r="C50" s="16" t="s">
        <v>667</v>
      </c>
      <c r="D50" s="16" t="s">
        <v>673</v>
      </c>
      <c r="E50" s="16" t="s">
        <v>102</v>
      </c>
      <c r="F50" s="16" t="s">
        <v>674</v>
      </c>
      <c r="G50" s="16" t="s">
        <v>102</v>
      </c>
      <c r="H50" s="16" t="s">
        <v>675</v>
      </c>
      <c r="I50" s="15" t="s">
        <v>106</v>
      </c>
      <c r="J50" s="15" t="s">
        <v>112</v>
      </c>
      <c r="K50" s="17"/>
      <c r="L50" s="18" t="s">
        <v>52</v>
      </c>
      <c r="M50" s="17"/>
      <c r="N50" s="19"/>
      <c r="O50" s="17"/>
    </row>
    <row r="51" spans="1:15" x14ac:dyDescent="0.3">
      <c r="A51" s="15" t="s">
        <v>676</v>
      </c>
      <c r="B51" s="16" t="s">
        <v>661</v>
      </c>
      <c r="C51" s="16" t="s">
        <v>422</v>
      </c>
      <c r="D51" s="16" t="s">
        <v>677</v>
      </c>
      <c r="E51" s="16" t="s">
        <v>102</v>
      </c>
      <c r="F51" s="16" t="s">
        <v>678</v>
      </c>
      <c r="G51" s="16" t="s">
        <v>102</v>
      </c>
      <c r="H51" s="16" t="s">
        <v>679</v>
      </c>
      <c r="I51" s="15" t="s">
        <v>126</v>
      </c>
      <c r="J51" s="15" t="s">
        <v>79</v>
      </c>
      <c r="K51" s="17"/>
      <c r="L51" s="18" t="s">
        <v>52</v>
      </c>
      <c r="M51" s="17"/>
      <c r="N51" s="19"/>
      <c r="O51" s="17"/>
    </row>
  </sheetData>
  <autoFilter ref="A1:O51" xr:uid="{00000000-0009-0000-0000-000005000000}"/>
  <conditionalFormatting sqref="I2:I251">
    <cfRule type="expression" dxfId="24" priority="5">
      <formula>$I2="Cao"</formula>
    </cfRule>
  </conditionalFormatting>
  <conditionalFormatting sqref="L2:L251">
    <cfRule type="expression" dxfId="23" priority="1">
      <formula>$L2="Pass"</formula>
    </cfRule>
    <cfRule type="expression" dxfId="22" priority="2">
      <formula>$L2="Fail"</formula>
    </cfRule>
    <cfRule type="expression" dxfId="21" priority="3">
      <formula>$L2="Blocked"</formula>
    </cfRule>
    <cfRule type="expression" dxfId="20" priority="4">
      <formula>$L2="Not Run"</formula>
    </cfRule>
  </conditionalFormatting>
  <dataValidations count="1">
    <dataValidation type="list" errorTitle="Trạng thái không hợp lệ" error="Chọn: Not Run / Pass / Fail / Blocked" sqref="L2:L251" xr:uid="{00000000-0002-0000-0500-000000000000}">
      <formula1>"Not Run,Pass,Fail,Blocked"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4"/>
  <sheetViews>
    <sheetView workbookViewId="0">
      <pane xSplit="4" ySplit="1" topLeftCell="E2" activePane="bottomRight" state="frozen"/>
      <selection pane="topRight"/>
      <selection pane="bottomLeft"/>
      <selection pane="bottomRight" activeCell="R3" sqref="R3"/>
    </sheetView>
  </sheetViews>
  <sheetFormatPr defaultRowHeight="14.4" x14ac:dyDescent="0.3"/>
  <cols>
    <col min="1" max="1" width="11" customWidth="1"/>
    <col min="2" max="3" width="18" customWidth="1"/>
    <col min="4" max="4" width="34" customWidth="1"/>
    <col min="5" max="5" width="30" customWidth="1"/>
    <col min="6" max="6" width="44" customWidth="1"/>
    <col min="7" max="7" width="22" customWidth="1"/>
    <col min="8" max="8" width="48" customWidth="1"/>
    <col min="9" max="10" width="11" customWidth="1"/>
    <col min="11" max="11" width="30" customWidth="1"/>
    <col min="12" max="12" width="12" customWidth="1"/>
    <col min="13" max="13" width="14" customWidth="1"/>
    <col min="14" max="14" width="12" customWidth="1"/>
    <col min="15" max="15" width="22" customWidth="1"/>
  </cols>
  <sheetData>
    <row r="1" spans="1:15" ht="30" customHeight="1" x14ac:dyDescent="0.3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14</v>
      </c>
      <c r="J1" s="7" t="s">
        <v>16</v>
      </c>
      <c r="K1" s="7" t="s">
        <v>67</v>
      </c>
      <c r="L1" s="7" t="s">
        <v>8</v>
      </c>
      <c r="M1" s="7" t="s">
        <v>68</v>
      </c>
      <c r="N1" s="7" t="s">
        <v>69</v>
      </c>
      <c r="O1" s="7" t="s">
        <v>70</v>
      </c>
    </row>
    <row r="2" spans="1:15" ht="26.4" x14ac:dyDescent="0.3">
      <c r="A2" s="15" t="s">
        <v>680</v>
      </c>
      <c r="B2" s="16" t="s">
        <v>438</v>
      </c>
      <c r="C2" s="16" t="s">
        <v>439</v>
      </c>
      <c r="D2" s="16" t="s">
        <v>440</v>
      </c>
      <c r="E2" s="16" t="s">
        <v>434</v>
      </c>
      <c r="F2" s="16" t="s">
        <v>441</v>
      </c>
      <c r="G2" s="16" t="s">
        <v>102</v>
      </c>
      <c r="H2" s="16" t="s">
        <v>681</v>
      </c>
      <c r="I2" s="15" t="s">
        <v>78</v>
      </c>
      <c r="J2" s="15" t="s">
        <v>79</v>
      </c>
      <c r="K2" s="17"/>
      <c r="L2" s="18" t="s">
        <v>52</v>
      </c>
      <c r="M2" s="17"/>
      <c r="N2" s="19"/>
      <c r="O2" s="17"/>
    </row>
    <row r="3" spans="1:15" ht="26.4" x14ac:dyDescent="0.3">
      <c r="A3" s="15" t="s">
        <v>682</v>
      </c>
      <c r="B3" s="16" t="s">
        <v>683</v>
      </c>
      <c r="C3" s="16" t="s">
        <v>577</v>
      </c>
      <c r="D3" s="16" t="s">
        <v>684</v>
      </c>
      <c r="E3" s="16" t="s">
        <v>102</v>
      </c>
      <c r="F3" s="16" t="s">
        <v>685</v>
      </c>
      <c r="G3" s="16" t="s">
        <v>102</v>
      </c>
      <c r="H3" s="16" t="s">
        <v>686</v>
      </c>
      <c r="I3" s="15" t="s">
        <v>106</v>
      </c>
      <c r="J3" s="15" t="s">
        <v>79</v>
      </c>
      <c r="K3" s="17"/>
      <c r="L3" s="18" t="s">
        <v>52</v>
      </c>
      <c r="M3" s="17"/>
      <c r="N3" s="19"/>
      <c r="O3" s="17"/>
    </row>
    <row r="4" spans="1:15" ht="26.4" x14ac:dyDescent="0.3">
      <c r="A4" s="15" t="s">
        <v>687</v>
      </c>
      <c r="B4" s="16" t="s">
        <v>683</v>
      </c>
      <c r="C4" s="16" t="s">
        <v>449</v>
      </c>
      <c r="D4" s="16" t="s">
        <v>688</v>
      </c>
      <c r="E4" s="16" t="s">
        <v>102</v>
      </c>
      <c r="F4" s="16" t="s">
        <v>689</v>
      </c>
      <c r="G4" s="16" t="s">
        <v>102</v>
      </c>
      <c r="H4" s="16" t="s">
        <v>690</v>
      </c>
      <c r="I4" s="15" t="s">
        <v>78</v>
      </c>
      <c r="J4" s="15" t="s">
        <v>79</v>
      </c>
      <c r="K4" s="17"/>
      <c r="L4" s="18" t="s">
        <v>52</v>
      </c>
      <c r="M4" s="17"/>
      <c r="N4" s="19"/>
      <c r="O4" s="17"/>
    </row>
    <row r="5" spans="1:15" ht="52.8" x14ac:dyDescent="0.3">
      <c r="A5" s="15" t="s">
        <v>691</v>
      </c>
      <c r="B5" s="16" t="s">
        <v>692</v>
      </c>
      <c r="C5" s="16" t="s">
        <v>421</v>
      </c>
      <c r="D5" s="16" t="s">
        <v>693</v>
      </c>
      <c r="E5" s="16" t="s">
        <v>694</v>
      </c>
      <c r="F5" s="16" t="s">
        <v>695</v>
      </c>
      <c r="G5" s="16" t="s">
        <v>102</v>
      </c>
      <c r="H5" s="16" t="s">
        <v>696</v>
      </c>
      <c r="I5" s="15" t="s">
        <v>78</v>
      </c>
      <c r="J5" s="15" t="s">
        <v>79</v>
      </c>
      <c r="K5" s="17"/>
      <c r="L5" s="18" t="s">
        <v>52</v>
      </c>
      <c r="M5" s="17"/>
      <c r="N5" s="19"/>
      <c r="O5" s="17"/>
    </row>
    <row r="6" spans="1:15" ht="39.6" x14ac:dyDescent="0.3">
      <c r="A6" s="15" t="s">
        <v>697</v>
      </c>
      <c r="B6" s="16" t="s">
        <v>692</v>
      </c>
      <c r="C6" s="16" t="s">
        <v>422</v>
      </c>
      <c r="D6" s="16" t="s">
        <v>698</v>
      </c>
      <c r="E6" s="16" t="s">
        <v>102</v>
      </c>
      <c r="F6" s="16" t="s">
        <v>699</v>
      </c>
      <c r="G6" s="16" t="s">
        <v>102</v>
      </c>
      <c r="H6" s="16" t="s">
        <v>700</v>
      </c>
      <c r="I6" s="15" t="s">
        <v>106</v>
      </c>
      <c r="J6" s="15" t="s">
        <v>79</v>
      </c>
      <c r="K6" s="17"/>
      <c r="L6" s="18" t="s">
        <v>52</v>
      </c>
      <c r="M6" s="17"/>
      <c r="N6" s="19"/>
      <c r="O6" s="17"/>
    </row>
    <row r="7" spans="1:15" ht="26.4" x14ac:dyDescent="0.3">
      <c r="A7" s="15" t="s">
        <v>701</v>
      </c>
      <c r="B7" s="16" t="s">
        <v>692</v>
      </c>
      <c r="C7" s="16" t="s">
        <v>422</v>
      </c>
      <c r="D7" s="16" t="s">
        <v>702</v>
      </c>
      <c r="E7" s="16" t="s">
        <v>703</v>
      </c>
      <c r="F7" s="16" t="s">
        <v>704</v>
      </c>
      <c r="G7" s="16" t="s">
        <v>102</v>
      </c>
      <c r="H7" s="16" t="s">
        <v>705</v>
      </c>
      <c r="I7" s="15" t="s">
        <v>106</v>
      </c>
      <c r="J7" s="15" t="s">
        <v>112</v>
      </c>
      <c r="K7" s="17"/>
      <c r="L7" s="18" t="s">
        <v>52</v>
      </c>
      <c r="M7" s="17"/>
      <c r="N7" s="19"/>
      <c r="O7" s="17"/>
    </row>
    <row r="8" spans="1:15" ht="26.4" x14ac:dyDescent="0.3">
      <c r="A8" s="15" t="s">
        <v>706</v>
      </c>
      <c r="B8" s="16" t="s">
        <v>692</v>
      </c>
      <c r="C8" s="16" t="s">
        <v>421</v>
      </c>
      <c r="D8" s="16" t="s">
        <v>707</v>
      </c>
      <c r="E8" s="16" t="s">
        <v>102</v>
      </c>
      <c r="F8" s="16" t="s">
        <v>708</v>
      </c>
      <c r="G8" s="16" t="s">
        <v>102</v>
      </c>
      <c r="H8" s="16" t="s">
        <v>709</v>
      </c>
      <c r="I8" s="15" t="s">
        <v>126</v>
      </c>
      <c r="J8" s="15" t="s">
        <v>112</v>
      </c>
      <c r="K8" s="17"/>
      <c r="L8" s="18" t="s">
        <v>52</v>
      </c>
      <c r="M8" s="17"/>
      <c r="N8" s="19"/>
      <c r="O8" s="17"/>
    </row>
    <row r="9" spans="1:15" ht="26.4" x14ac:dyDescent="0.3">
      <c r="A9" s="15" t="s">
        <v>710</v>
      </c>
      <c r="B9" s="16" t="s">
        <v>711</v>
      </c>
      <c r="C9" s="16" t="s">
        <v>712</v>
      </c>
      <c r="D9" s="16" t="s">
        <v>713</v>
      </c>
      <c r="E9" s="16" t="s">
        <v>714</v>
      </c>
      <c r="F9" s="16" t="s">
        <v>715</v>
      </c>
      <c r="G9" s="16" t="s">
        <v>102</v>
      </c>
      <c r="H9" s="16" t="s">
        <v>716</v>
      </c>
      <c r="I9" s="15" t="s">
        <v>78</v>
      </c>
      <c r="J9" s="15" t="s">
        <v>79</v>
      </c>
      <c r="K9" s="17"/>
      <c r="L9" s="18" t="s">
        <v>52</v>
      </c>
      <c r="M9" s="17"/>
      <c r="N9" s="19"/>
      <c r="O9" s="17"/>
    </row>
    <row r="10" spans="1:15" ht="26.4" x14ac:dyDescent="0.3">
      <c r="A10" s="15" t="s">
        <v>717</v>
      </c>
      <c r="B10" s="16" t="s">
        <v>711</v>
      </c>
      <c r="C10" s="16" t="s">
        <v>718</v>
      </c>
      <c r="D10" s="16" t="s">
        <v>719</v>
      </c>
      <c r="E10" s="16" t="s">
        <v>102</v>
      </c>
      <c r="F10" s="16" t="s">
        <v>720</v>
      </c>
      <c r="G10" s="16" t="s">
        <v>102</v>
      </c>
      <c r="H10" s="16" t="s">
        <v>721</v>
      </c>
      <c r="I10" s="15" t="s">
        <v>78</v>
      </c>
      <c r="J10" s="15" t="s">
        <v>79</v>
      </c>
      <c r="K10" s="17"/>
      <c r="L10" s="18" t="s">
        <v>52</v>
      </c>
      <c r="M10" s="17"/>
      <c r="N10" s="19"/>
      <c r="O10" s="17"/>
    </row>
    <row r="11" spans="1:15" ht="26.4" x14ac:dyDescent="0.3">
      <c r="A11" s="15" t="s">
        <v>722</v>
      </c>
      <c r="B11" s="16" t="s">
        <v>711</v>
      </c>
      <c r="C11" s="16" t="s">
        <v>723</v>
      </c>
      <c r="D11" s="16" t="s">
        <v>724</v>
      </c>
      <c r="E11" s="16" t="s">
        <v>725</v>
      </c>
      <c r="F11" s="16" t="s">
        <v>726</v>
      </c>
      <c r="G11" s="16" t="s">
        <v>102</v>
      </c>
      <c r="H11" s="16" t="s">
        <v>727</v>
      </c>
      <c r="I11" s="15" t="s">
        <v>78</v>
      </c>
      <c r="J11" s="15" t="s">
        <v>79</v>
      </c>
      <c r="K11" s="17"/>
      <c r="L11" s="18" t="s">
        <v>52</v>
      </c>
      <c r="M11" s="17"/>
      <c r="N11" s="19"/>
      <c r="O11" s="17"/>
    </row>
    <row r="12" spans="1:15" ht="26.4" x14ac:dyDescent="0.3">
      <c r="A12" s="15" t="s">
        <v>728</v>
      </c>
      <c r="B12" s="16" t="s">
        <v>711</v>
      </c>
      <c r="C12" s="16" t="s">
        <v>729</v>
      </c>
      <c r="D12" s="16" t="s">
        <v>730</v>
      </c>
      <c r="E12" s="16" t="s">
        <v>731</v>
      </c>
      <c r="F12" s="16" t="s">
        <v>732</v>
      </c>
      <c r="G12" s="16" t="s">
        <v>102</v>
      </c>
      <c r="H12" s="16" t="s">
        <v>733</v>
      </c>
      <c r="I12" s="15" t="s">
        <v>78</v>
      </c>
      <c r="J12" s="15" t="s">
        <v>79</v>
      </c>
      <c r="K12" s="17"/>
      <c r="L12" s="18" t="s">
        <v>52</v>
      </c>
      <c r="M12" s="17"/>
      <c r="N12" s="19"/>
      <c r="O12" s="17"/>
    </row>
    <row r="13" spans="1:15" ht="26.4" x14ac:dyDescent="0.3">
      <c r="A13" s="15" t="s">
        <v>734</v>
      </c>
      <c r="B13" s="16" t="s">
        <v>711</v>
      </c>
      <c r="C13" s="16" t="s">
        <v>735</v>
      </c>
      <c r="D13" s="16" t="s">
        <v>736</v>
      </c>
      <c r="E13" s="16" t="s">
        <v>737</v>
      </c>
      <c r="F13" s="16" t="s">
        <v>732</v>
      </c>
      <c r="G13" s="16" t="s">
        <v>102</v>
      </c>
      <c r="H13" s="16" t="s">
        <v>738</v>
      </c>
      <c r="I13" s="15" t="s">
        <v>78</v>
      </c>
      <c r="J13" s="15" t="s">
        <v>79</v>
      </c>
      <c r="K13" s="17"/>
      <c r="L13" s="18" t="s">
        <v>52</v>
      </c>
      <c r="M13" s="17"/>
      <c r="N13" s="19"/>
      <c r="O13" s="17"/>
    </row>
    <row r="14" spans="1:15" ht="26.4" x14ac:dyDescent="0.3">
      <c r="A14" s="15" t="s">
        <v>739</v>
      </c>
      <c r="B14" s="16" t="s">
        <v>711</v>
      </c>
      <c r="C14" s="16" t="s">
        <v>740</v>
      </c>
      <c r="D14" s="16" t="s">
        <v>741</v>
      </c>
      <c r="E14" s="16" t="s">
        <v>742</v>
      </c>
      <c r="F14" s="16" t="s">
        <v>743</v>
      </c>
      <c r="G14" s="16" t="s">
        <v>102</v>
      </c>
      <c r="H14" s="16" t="s">
        <v>744</v>
      </c>
      <c r="I14" s="15" t="s">
        <v>78</v>
      </c>
      <c r="J14" s="15" t="s">
        <v>79</v>
      </c>
      <c r="K14" s="17"/>
      <c r="L14" s="18" t="s">
        <v>52</v>
      </c>
      <c r="M14" s="17"/>
      <c r="N14" s="19"/>
      <c r="O14" s="17"/>
    </row>
    <row r="15" spans="1:15" ht="26.4" x14ac:dyDescent="0.3">
      <c r="A15" s="15" t="s">
        <v>745</v>
      </c>
      <c r="B15" s="16" t="s">
        <v>711</v>
      </c>
      <c r="C15" s="16" t="s">
        <v>740</v>
      </c>
      <c r="D15" s="16" t="s">
        <v>746</v>
      </c>
      <c r="E15" s="16" t="s">
        <v>747</v>
      </c>
      <c r="F15" s="16" t="s">
        <v>748</v>
      </c>
      <c r="G15" s="16" t="s">
        <v>102</v>
      </c>
      <c r="H15" s="16" t="s">
        <v>749</v>
      </c>
      <c r="I15" s="15" t="s">
        <v>106</v>
      </c>
      <c r="J15" s="15" t="s">
        <v>99</v>
      </c>
      <c r="K15" s="17"/>
      <c r="L15" s="18" t="s">
        <v>52</v>
      </c>
      <c r="M15" s="17"/>
      <c r="N15" s="19"/>
      <c r="O15" s="17"/>
    </row>
    <row r="16" spans="1:15" ht="26.4" x14ac:dyDescent="0.3">
      <c r="A16" s="15" t="s">
        <v>750</v>
      </c>
      <c r="B16" s="16" t="s">
        <v>711</v>
      </c>
      <c r="C16" s="16" t="s">
        <v>751</v>
      </c>
      <c r="D16" s="16" t="s">
        <v>752</v>
      </c>
      <c r="E16" s="16" t="s">
        <v>753</v>
      </c>
      <c r="F16" s="16" t="s">
        <v>754</v>
      </c>
      <c r="G16" s="16" t="s">
        <v>102</v>
      </c>
      <c r="H16" s="16" t="s">
        <v>755</v>
      </c>
      <c r="I16" s="15" t="s">
        <v>106</v>
      </c>
      <c r="J16" s="15" t="s">
        <v>112</v>
      </c>
      <c r="K16" s="17"/>
      <c r="L16" s="18" t="s">
        <v>52</v>
      </c>
      <c r="M16" s="17"/>
      <c r="N16" s="19"/>
      <c r="O16" s="17"/>
    </row>
    <row r="17" spans="1:15" ht="39.6" x14ac:dyDescent="0.3">
      <c r="A17" s="15" t="s">
        <v>756</v>
      </c>
      <c r="B17" s="16" t="s">
        <v>757</v>
      </c>
      <c r="C17" s="16" t="s">
        <v>758</v>
      </c>
      <c r="D17" s="16" t="s">
        <v>759</v>
      </c>
      <c r="E17" s="16" t="s">
        <v>102</v>
      </c>
      <c r="F17" s="16" t="s">
        <v>760</v>
      </c>
      <c r="G17" s="16" t="s">
        <v>102</v>
      </c>
      <c r="H17" s="16" t="s">
        <v>761</v>
      </c>
      <c r="I17" s="15" t="s">
        <v>78</v>
      </c>
      <c r="J17" s="15" t="s">
        <v>79</v>
      </c>
      <c r="K17" s="17"/>
      <c r="L17" s="18" t="s">
        <v>52</v>
      </c>
      <c r="M17" s="17"/>
      <c r="N17" s="19"/>
      <c r="O17" s="17"/>
    </row>
    <row r="18" spans="1:15" ht="26.4" x14ac:dyDescent="0.3">
      <c r="A18" s="15" t="s">
        <v>762</v>
      </c>
      <c r="B18" s="16" t="s">
        <v>757</v>
      </c>
      <c r="C18" s="16" t="s">
        <v>758</v>
      </c>
      <c r="D18" s="16" t="s">
        <v>763</v>
      </c>
      <c r="E18" s="16" t="s">
        <v>102</v>
      </c>
      <c r="F18" s="16" t="s">
        <v>764</v>
      </c>
      <c r="G18" s="16" t="s">
        <v>102</v>
      </c>
      <c r="H18" s="16" t="s">
        <v>765</v>
      </c>
      <c r="I18" s="15" t="s">
        <v>78</v>
      </c>
      <c r="J18" s="15" t="s">
        <v>99</v>
      </c>
      <c r="K18" s="17"/>
      <c r="L18" s="18" t="s">
        <v>52</v>
      </c>
      <c r="M18" s="17"/>
      <c r="N18" s="19"/>
      <c r="O18" s="17"/>
    </row>
    <row r="19" spans="1:15" x14ac:dyDescent="0.3">
      <c r="A19" s="15" t="s">
        <v>766</v>
      </c>
      <c r="B19" s="16" t="s">
        <v>757</v>
      </c>
      <c r="C19" s="16" t="s">
        <v>758</v>
      </c>
      <c r="D19" s="16" t="s">
        <v>767</v>
      </c>
      <c r="E19" s="16" t="s">
        <v>768</v>
      </c>
      <c r="F19" s="16" t="s">
        <v>769</v>
      </c>
      <c r="G19" s="16" t="s">
        <v>102</v>
      </c>
      <c r="H19" s="16" t="s">
        <v>770</v>
      </c>
      <c r="I19" s="15" t="s">
        <v>106</v>
      </c>
      <c r="J19" s="15" t="s">
        <v>99</v>
      </c>
      <c r="K19" s="17"/>
      <c r="L19" s="18" t="s">
        <v>52</v>
      </c>
      <c r="M19" s="17"/>
      <c r="N19" s="19"/>
      <c r="O19" s="17"/>
    </row>
    <row r="20" spans="1:15" ht="26.4" x14ac:dyDescent="0.3">
      <c r="A20" s="15" t="s">
        <v>771</v>
      </c>
      <c r="B20" s="16" t="s">
        <v>757</v>
      </c>
      <c r="C20" s="16" t="s">
        <v>609</v>
      </c>
      <c r="D20" s="16" t="s">
        <v>772</v>
      </c>
      <c r="E20" s="16" t="s">
        <v>773</v>
      </c>
      <c r="F20" s="16" t="s">
        <v>774</v>
      </c>
      <c r="G20" s="16" t="s">
        <v>102</v>
      </c>
      <c r="H20" s="16" t="s">
        <v>775</v>
      </c>
      <c r="I20" s="15" t="s">
        <v>106</v>
      </c>
      <c r="J20" s="15" t="s">
        <v>112</v>
      </c>
      <c r="K20" s="17"/>
      <c r="L20" s="18" t="s">
        <v>52</v>
      </c>
      <c r="M20" s="17"/>
      <c r="N20" s="19"/>
      <c r="O20" s="17"/>
    </row>
    <row r="21" spans="1:15" x14ac:dyDescent="0.3">
      <c r="A21" s="15" t="s">
        <v>776</v>
      </c>
      <c r="B21" s="16" t="s">
        <v>757</v>
      </c>
      <c r="C21" s="16" t="s">
        <v>609</v>
      </c>
      <c r="D21" s="16" t="s">
        <v>777</v>
      </c>
      <c r="E21" s="16" t="s">
        <v>611</v>
      </c>
      <c r="F21" s="16" t="s">
        <v>778</v>
      </c>
      <c r="G21" s="16" t="s">
        <v>102</v>
      </c>
      <c r="H21" s="16" t="s">
        <v>779</v>
      </c>
      <c r="I21" s="15" t="s">
        <v>78</v>
      </c>
      <c r="J21" s="15" t="s">
        <v>112</v>
      </c>
      <c r="K21" s="17"/>
      <c r="L21" s="18" t="s">
        <v>52</v>
      </c>
      <c r="M21" s="17"/>
      <c r="N21" s="19"/>
      <c r="O21" s="17"/>
    </row>
    <row r="22" spans="1:15" ht="26.4" x14ac:dyDescent="0.3">
      <c r="A22" s="15" t="s">
        <v>780</v>
      </c>
      <c r="B22" s="16" t="s">
        <v>781</v>
      </c>
      <c r="C22" s="16" t="s">
        <v>133</v>
      </c>
      <c r="D22" s="16" t="s">
        <v>782</v>
      </c>
      <c r="E22" s="16" t="s">
        <v>783</v>
      </c>
      <c r="F22" s="16" t="s">
        <v>784</v>
      </c>
      <c r="G22" s="16" t="s">
        <v>102</v>
      </c>
      <c r="H22" s="16" t="s">
        <v>785</v>
      </c>
      <c r="I22" s="15" t="s">
        <v>106</v>
      </c>
      <c r="J22" s="15" t="s">
        <v>79</v>
      </c>
      <c r="K22" s="17"/>
      <c r="L22" s="18" t="s">
        <v>52</v>
      </c>
      <c r="M22" s="17"/>
      <c r="N22" s="19"/>
      <c r="O22" s="17"/>
    </row>
    <row r="23" spans="1:15" x14ac:dyDescent="0.3">
      <c r="A23" s="15" t="s">
        <v>786</v>
      </c>
      <c r="B23" s="16" t="s">
        <v>787</v>
      </c>
      <c r="C23" s="16" t="s">
        <v>647</v>
      </c>
      <c r="D23" s="16" t="s">
        <v>788</v>
      </c>
      <c r="E23" s="16" t="s">
        <v>102</v>
      </c>
      <c r="F23" s="16" t="s">
        <v>789</v>
      </c>
      <c r="G23" s="16" t="s">
        <v>102</v>
      </c>
      <c r="H23" s="16" t="s">
        <v>790</v>
      </c>
      <c r="I23" s="15" t="s">
        <v>78</v>
      </c>
      <c r="J23" s="15" t="s">
        <v>79</v>
      </c>
      <c r="K23" s="17"/>
      <c r="L23" s="18" t="s">
        <v>52</v>
      </c>
      <c r="M23" s="17"/>
      <c r="N23" s="19"/>
      <c r="O23" s="17"/>
    </row>
    <row r="24" spans="1:15" ht="26.4" x14ac:dyDescent="0.3">
      <c r="A24" s="15" t="s">
        <v>791</v>
      </c>
      <c r="B24" s="16" t="s">
        <v>787</v>
      </c>
      <c r="C24" s="16" t="s">
        <v>647</v>
      </c>
      <c r="D24" s="16" t="s">
        <v>792</v>
      </c>
      <c r="E24" s="16" t="s">
        <v>102</v>
      </c>
      <c r="F24" s="16" t="s">
        <v>793</v>
      </c>
      <c r="G24" s="16" t="s">
        <v>102</v>
      </c>
      <c r="H24" s="16" t="s">
        <v>794</v>
      </c>
      <c r="I24" s="15" t="s">
        <v>106</v>
      </c>
      <c r="J24" s="15" t="s">
        <v>79</v>
      </c>
      <c r="K24" s="17"/>
      <c r="L24" s="18" t="s">
        <v>52</v>
      </c>
      <c r="M24" s="17"/>
      <c r="N24" s="19"/>
      <c r="O24" s="17"/>
    </row>
    <row r="25" spans="1:15" x14ac:dyDescent="0.3">
      <c r="A25" s="15" t="s">
        <v>795</v>
      </c>
      <c r="B25" s="16" t="s">
        <v>787</v>
      </c>
      <c r="C25" s="16" t="s">
        <v>415</v>
      </c>
      <c r="D25" s="16" t="s">
        <v>796</v>
      </c>
      <c r="E25" s="16" t="s">
        <v>102</v>
      </c>
      <c r="F25" s="16" t="s">
        <v>797</v>
      </c>
      <c r="G25" s="16" t="s">
        <v>102</v>
      </c>
      <c r="H25" s="16" t="s">
        <v>798</v>
      </c>
      <c r="I25" s="15" t="s">
        <v>106</v>
      </c>
      <c r="J25" s="15" t="s">
        <v>99</v>
      </c>
      <c r="K25" s="17"/>
      <c r="L25" s="18" t="s">
        <v>52</v>
      </c>
      <c r="M25" s="17"/>
      <c r="N25" s="19"/>
      <c r="O25" s="17"/>
    </row>
    <row r="26" spans="1:15" ht="52.8" x14ac:dyDescent="0.3">
      <c r="A26" s="15" t="s">
        <v>799</v>
      </c>
      <c r="B26" s="16" t="s">
        <v>800</v>
      </c>
      <c r="C26" s="16" t="s">
        <v>801</v>
      </c>
      <c r="D26" s="16" t="s">
        <v>802</v>
      </c>
      <c r="E26" s="16" t="s">
        <v>102</v>
      </c>
      <c r="F26" s="16" t="s">
        <v>803</v>
      </c>
      <c r="G26" s="16" t="s">
        <v>102</v>
      </c>
      <c r="H26" s="16" t="s">
        <v>804</v>
      </c>
      <c r="I26" s="15" t="s">
        <v>78</v>
      </c>
      <c r="J26" s="15" t="s">
        <v>79</v>
      </c>
      <c r="K26" s="17"/>
      <c r="L26" s="18" t="s">
        <v>52</v>
      </c>
      <c r="M26" s="17"/>
      <c r="N26" s="19"/>
      <c r="O26" s="17"/>
    </row>
    <row r="27" spans="1:15" x14ac:dyDescent="0.3">
      <c r="A27" s="15" t="s">
        <v>805</v>
      </c>
      <c r="B27" s="16" t="s">
        <v>800</v>
      </c>
      <c r="C27" s="16" t="s">
        <v>8</v>
      </c>
      <c r="D27" s="16" t="s">
        <v>806</v>
      </c>
      <c r="E27" s="16" t="s">
        <v>807</v>
      </c>
      <c r="F27" s="16" t="s">
        <v>808</v>
      </c>
      <c r="G27" s="16" t="s">
        <v>102</v>
      </c>
      <c r="H27" s="16" t="s">
        <v>809</v>
      </c>
      <c r="I27" s="15" t="s">
        <v>106</v>
      </c>
      <c r="J27" s="15" t="s">
        <v>79</v>
      </c>
      <c r="K27" s="17"/>
      <c r="L27" s="18" t="s">
        <v>52</v>
      </c>
      <c r="M27" s="17"/>
      <c r="N27" s="19"/>
      <c r="O27" s="17"/>
    </row>
    <row r="28" spans="1:15" ht="26.4" x14ac:dyDescent="0.3">
      <c r="A28" s="15" t="s">
        <v>810</v>
      </c>
      <c r="B28" s="16" t="s">
        <v>800</v>
      </c>
      <c r="C28" s="16" t="s">
        <v>146</v>
      </c>
      <c r="D28" s="16" t="s">
        <v>811</v>
      </c>
      <c r="E28" s="16" t="s">
        <v>102</v>
      </c>
      <c r="F28" s="16" t="s">
        <v>812</v>
      </c>
      <c r="G28" s="16" t="s">
        <v>102</v>
      </c>
      <c r="H28" s="16" t="s">
        <v>813</v>
      </c>
      <c r="I28" s="15" t="s">
        <v>106</v>
      </c>
      <c r="J28" s="15" t="s">
        <v>99</v>
      </c>
      <c r="K28" s="17"/>
      <c r="L28" s="18" t="s">
        <v>52</v>
      </c>
      <c r="M28" s="17"/>
      <c r="N28" s="19"/>
      <c r="O28" s="17"/>
    </row>
    <row r="29" spans="1:15" x14ac:dyDescent="0.3">
      <c r="A29" s="15" t="s">
        <v>814</v>
      </c>
      <c r="B29" s="16" t="s">
        <v>815</v>
      </c>
      <c r="C29" s="16" t="s">
        <v>647</v>
      </c>
      <c r="D29" s="16" t="s">
        <v>816</v>
      </c>
      <c r="E29" s="16" t="s">
        <v>817</v>
      </c>
      <c r="F29" s="16" t="s">
        <v>818</v>
      </c>
      <c r="G29" s="16" t="s">
        <v>102</v>
      </c>
      <c r="H29" s="16" t="s">
        <v>819</v>
      </c>
      <c r="I29" s="15" t="s">
        <v>106</v>
      </c>
      <c r="J29" s="15" t="s">
        <v>79</v>
      </c>
      <c r="K29" s="17"/>
      <c r="L29" s="18" t="s">
        <v>52</v>
      </c>
      <c r="M29" s="17"/>
      <c r="N29" s="19"/>
      <c r="O29" s="17"/>
    </row>
    <row r="30" spans="1:15" ht="26.4" x14ac:dyDescent="0.3">
      <c r="A30" s="15" t="s">
        <v>820</v>
      </c>
      <c r="B30" s="16" t="s">
        <v>821</v>
      </c>
      <c r="C30" s="16" t="s">
        <v>667</v>
      </c>
      <c r="D30" s="16" t="s">
        <v>822</v>
      </c>
      <c r="E30" s="16" t="s">
        <v>823</v>
      </c>
      <c r="F30" s="16" t="s">
        <v>824</v>
      </c>
      <c r="G30" s="16" t="s">
        <v>102</v>
      </c>
      <c r="H30" s="16" t="s">
        <v>825</v>
      </c>
      <c r="I30" s="15" t="s">
        <v>106</v>
      </c>
      <c r="J30" s="15" t="s">
        <v>79</v>
      </c>
      <c r="K30" s="17"/>
      <c r="L30" s="18" t="s">
        <v>52</v>
      </c>
      <c r="M30" s="17"/>
      <c r="N30" s="19"/>
      <c r="O30" s="17"/>
    </row>
    <row r="31" spans="1:15" ht="66" x14ac:dyDescent="0.3">
      <c r="A31" s="15" t="s">
        <v>826</v>
      </c>
      <c r="B31" s="16" t="s">
        <v>827</v>
      </c>
      <c r="C31" s="16" t="s">
        <v>828</v>
      </c>
      <c r="D31" s="16" t="s">
        <v>829</v>
      </c>
      <c r="E31" s="16" t="s">
        <v>102</v>
      </c>
      <c r="F31" s="16" t="s">
        <v>830</v>
      </c>
      <c r="G31" s="16" t="s">
        <v>102</v>
      </c>
      <c r="H31" s="16" t="s">
        <v>831</v>
      </c>
      <c r="I31" s="15" t="s">
        <v>106</v>
      </c>
      <c r="J31" s="15" t="s">
        <v>79</v>
      </c>
      <c r="K31" s="17"/>
      <c r="L31" s="18" t="s">
        <v>52</v>
      </c>
      <c r="M31" s="17"/>
      <c r="N31" s="19"/>
      <c r="O31" s="17"/>
    </row>
    <row r="32" spans="1:15" ht="52.8" x14ac:dyDescent="0.3">
      <c r="A32" s="15" t="s">
        <v>832</v>
      </c>
      <c r="B32" s="16" t="s">
        <v>833</v>
      </c>
      <c r="C32" s="16" t="s">
        <v>834</v>
      </c>
      <c r="D32" s="16" t="s">
        <v>835</v>
      </c>
      <c r="E32" s="16" t="s">
        <v>102</v>
      </c>
      <c r="F32" s="16" t="s">
        <v>836</v>
      </c>
      <c r="G32" s="16" t="s">
        <v>102</v>
      </c>
      <c r="H32" s="16" t="s">
        <v>837</v>
      </c>
      <c r="I32" s="15" t="s">
        <v>106</v>
      </c>
      <c r="J32" s="15" t="s">
        <v>79</v>
      </c>
      <c r="K32" s="17"/>
      <c r="L32" s="18" t="s">
        <v>52</v>
      </c>
      <c r="M32" s="17"/>
      <c r="N32" s="19"/>
      <c r="O32" s="17"/>
    </row>
    <row r="33" spans="1:15" ht="26.4" x14ac:dyDescent="0.3">
      <c r="A33" s="15" t="s">
        <v>838</v>
      </c>
      <c r="B33" s="16" t="s">
        <v>833</v>
      </c>
      <c r="C33" s="16" t="s">
        <v>8</v>
      </c>
      <c r="D33" s="16" t="s">
        <v>839</v>
      </c>
      <c r="E33" s="16" t="s">
        <v>102</v>
      </c>
      <c r="F33" s="16" t="s">
        <v>840</v>
      </c>
      <c r="G33" s="16" t="s">
        <v>102</v>
      </c>
      <c r="H33" s="16" t="s">
        <v>841</v>
      </c>
      <c r="I33" s="15" t="s">
        <v>106</v>
      </c>
      <c r="J33" s="15" t="s">
        <v>79</v>
      </c>
      <c r="K33" s="17"/>
      <c r="L33" s="18" t="s">
        <v>52</v>
      </c>
      <c r="M33" s="17"/>
      <c r="N33" s="19"/>
      <c r="O33" s="17"/>
    </row>
    <row r="34" spans="1:15" ht="26.4" x14ac:dyDescent="0.3">
      <c r="A34" s="15" t="s">
        <v>842</v>
      </c>
      <c r="B34" s="16" t="s">
        <v>833</v>
      </c>
      <c r="C34" s="16" t="s">
        <v>415</v>
      </c>
      <c r="D34" s="16" t="s">
        <v>843</v>
      </c>
      <c r="E34" s="16" t="s">
        <v>102</v>
      </c>
      <c r="F34" s="16" t="s">
        <v>844</v>
      </c>
      <c r="G34" s="16" t="s">
        <v>102</v>
      </c>
      <c r="H34" s="16" t="s">
        <v>845</v>
      </c>
      <c r="I34" s="15" t="s">
        <v>126</v>
      </c>
      <c r="J34" s="15" t="s">
        <v>99</v>
      </c>
      <c r="K34" s="17"/>
      <c r="L34" s="18" t="s">
        <v>52</v>
      </c>
      <c r="M34" s="17"/>
      <c r="N34" s="19"/>
      <c r="O34" s="17"/>
    </row>
  </sheetData>
  <autoFilter ref="A1:O34" xr:uid="{00000000-0009-0000-0000-000006000000}"/>
  <conditionalFormatting sqref="I2:I234">
    <cfRule type="expression" dxfId="19" priority="5">
      <formula>$I2="Cao"</formula>
    </cfRule>
  </conditionalFormatting>
  <conditionalFormatting sqref="L2:L234">
    <cfRule type="expression" dxfId="18" priority="1">
      <formula>$L2="Pass"</formula>
    </cfRule>
    <cfRule type="expression" dxfId="17" priority="2">
      <formula>$L2="Fail"</formula>
    </cfRule>
    <cfRule type="expression" dxfId="16" priority="3">
      <formula>$L2="Blocked"</formula>
    </cfRule>
    <cfRule type="expression" dxfId="15" priority="4">
      <formula>$L2="Not Run"</formula>
    </cfRule>
  </conditionalFormatting>
  <dataValidations count="1">
    <dataValidation type="list" errorTitle="Trạng thái không hợp lệ" error="Chọn: Not Run / Pass / Fail / Blocked" sqref="L2:L234" xr:uid="{00000000-0002-0000-0600-000000000000}">
      <formula1>"Not Run,Pass,Fail,Blocked"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3" width="18" customWidth="1"/>
    <col min="4" max="4" width="34" customWidth="1"/>
    <col min="5" max="5" width="30" customWidth="1"/>
    <col min="6" max="6" width="44" customWidth="1"/>
    <col min="7" max="7" width="22" customWidth="1"/>
    <col min="8" max="8" width="48" customWidth="1"/>
    <col min="9" max="10" width="11" customWidth="1"/>
    <col min="11" max="11" width="30" customWidth="1"/>
    <col min="12" max="12" width="12" customWidth="1"/>
    <col min="13" max="13" width="14" customWidth="1"/>
    <col min="14" max="14" width="12" customWidth="1"/>
    <col min="15" max="15" width="22" customWidth="1"/>
  </cols>
  <sheetData>
    <row r="1" spans="1:15" ht="30" customHeight="1" x14ac:dyDescent="0.3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14</v>
      </c>
      <c r="J1" s="7" t="s">
        <v>16</v>
      </c>
      <c r="K1" s="7" t="s">
        <v>67</v>
      </c>
      <c r="L1" s="7" t="s">
        <v>8</v>
      </c>
      <c r="M1" s="7" t="s">
        <v>68</v>
      </c>
      <c r="N1" s="7" t="s">
        <v>69</v>
      </c>
      <c r="O1" s="7" t="s">
        <v>70</v>
      </c>
    </row>
    <row r="2" spans="1:15" x14ac:dyDescent="0.3">
      <c r="A2" s="15" t="s">
        <v>846</v>
      </c>
      <c r="B2" s="16" t="s">
        <v>438</v>
      </c>
      <c r="C2" s="16" t="s">
        <v>439</v>
      </c>
      <c r="D2" s="16" t="s">
        <v>440</v>
      </c>
      <c r="E2" s="16" t="s">
        <v>355</v>
      </c>
      <c r="F2" s="16" t="s">
        <v>441</v>
      </c>
      <c r="G2" s="16" t="s">
        <v>102</v>
      </c>
      <c r="H2" s="16" t="s">
        <v>847</v>
      </c>
      <c r="I2" s="15" t="s">
        <v>78</v>
      </c>
      <c r="J2" s="15" t="s">
        <v>79</v>
      </c>
      <c r="K2" s="17"/>
      <c r="L2" s="18" t="s">
        <v>52</v>
      </c>
      <c r="M2" s="17"/>
      <c r="N2" s="19"/>
      <c r="O2" s="17"/>
    </row>
    <row r="3" spans="1:15" ht="52.8" x14ac:dyDescent="0.3">
      <c r="A3" s="15" t="s">
        <v>848</v>
      </c>
      <c r="B3" s="16" t="s">
        <v>787</v>
      </c>
      <c r="C3" s="16" t="s">
        <v>834</v>
      </c>
      <c r="D3" s="16" t="s">
        <v>849</v>
      </c>
      <c r="E3" s="16" t="s">
        <v>102</v>
      </c>
      <c r="F3" s="16" t="s">
        <v>850</v>
      </c>
      <c r="G3" s="16" t="s">
        <v>102</v>
      </c>
      <c r="H3" s="16" t="s">
        <v>851</v>
      </c>
      <c r="I3" s="15" t="s">
        <v>78</v>
      </c>
      <c r="J3" s="15" t="s">
        <v>79</v>
      </c>
      <c r="K3" s="17"/>
      <c r="L3" s="18" t="s">
        <v>52</v>
      </c>
      <c r="M3" s="17"/>
      <c r="N3" s="19"/>
      <c r="O3" s="17"/>
    </row>
    <row r="4" spans="1:15" x14ac:dyDescent="0.3">
      <c r="A4" s="15" t="s">
        <v>852</v>
      </c>
      <c r="B4" s="16" t="s">
        <v>787</v>
      </c>
      <c r="C4" s="16" t="s">
        <v>146</v>
      </c>
      <c r="D4" s="16" t="s">
        <v>853</v>
      </c>
      <c r="E4" s="16" t="s">
        <v>102</v>
      </c>
      <c r="F4" s="16" t="s">
        <v>854</v>
      </c>
      <c r="G4" s="16" t="s">
        <v>102</v>
      </c>
      <c r="H4" s="16" t="s">
        <v>855</v>
      </c>
      <c r="I4" s="15" t="s">
        <v>106</v>
      </c>
      <c r="J4" s="15" t="s">
        <v>99</v>
      </c>
      <c r="K4" s="17"/>
      <c r="L4" s="18" t="s">
        <v>52</v>
      </c>
      <c r="M4" s="17"/>
      <c r="N4" s="19"/>
      <c r="O4" s="17"/>
    </row>
    <row r="5" spans="1:15" ht="26.4" x14ac:dyDescent="0.3">
      <c r="A5" s="15" t="s">
        <v>856</v>
      </c>
      <c r="B5" s="16" t="s">
        <v>787</v>
      </c>
      <c r="C5" s="16" t="s">
        <v>857</v>
      </c>
      <c r="D5" s="16" t="s">
        <v>858</v>
      </c>
      <c r="E5" s="16" t="s">
        <v>102</v>
      </c>
      <c r="F5" s="16" t="s">
        <v>859</v>
      </c>
      <c r="G5" s="16" t="s">
        <v>102</v>
      </c>
      <c r="H5" s="16" t="s">
        <v>860</v>
      </c>
      <c r="I5" s="15" t="s">
        <v>106</v>
      </c>
      <c r="J5" s="15" t="s">
        <v>79</v>
      </c>
      <c r="K5" s="17"/>
      <c r="L5" s="18" t="s">
        <v>52</v>
      </c>
      <c r="M5" s="17"/>
      <c r="N5" s="19"/>
      <c r="O5" s="17"/>
    </row>
    <row r="6" spans="1:15" ht="26.4" x14ac:dyDescent="0.3">
      <c r="A6" s="15" t="s">
        <v>861</v>
      </c>
      <c r="B6" s="16" t="s">
        <v>787</v>
      </c>
      <c r="C6" s="16" t="s">
        <v>862</v>
      </c>
      <c r="D6" s="16" t="s">
        <v>863</v>
      </c>
      <c r="E6" s="16" t="s">
        <v>102</v>
      </c>
      <c r="F6" s="16" t="s">
        <v>864</v>
      </c>
      <c r="G6" s="16" t="s">
        <v>102</v>
      </c>
      <c r="H6" s="16" t="s">
        <v>865</v>
      </c>
      <c r="I6" s="15" t="s">
        <v>126</v>
      </c>
      <c r="J6" s="15" t="s">
        <v>99</v>
      </c>
      <c r="K6" s="17"/>
      <c r="L6" s="18" t="s">
        <v>52</v>
      </c>
      <c r="M6" s="17"/>
      <c r="N6" s="19"/>
      <c r="O6" s="17"/>
    </row>
    <row r="7" spans="1:15" ht="39.6" x14ac:dyDescent="0.3">
      <c r="A7" s="15" t="s">
        <v>866</v>
      </c>
      <c r="B7" s="16" t="s">
        <v>787</v>
      </c>
      <c r="C7" s="16" t="s">
        <v>758</v>
      </c>
      <c r="D7" s="16" t="s">
        <v>867</v>
      </c>
      <c r="E7" s="16" t="s">
        <v>102</v>
      </c>
      <c r="F7" s="16" t="s">
        <v>868</v>
      </c>
      <c r="G7" s="16" t="s">
        <v>102</v>
      </c>
      <c r="H7" s="16" t="s">
        <v>869</v>
      </c>
      <c r="I7" s="15" t="s">
        <v>78</v>
      </c>
      <c r="J7" s="15" t="s">
        <v>79</v>
      </c>
      <c r="K7" s="17"/>
      <c r="L7" s="18" t="s">
        <v>52</v>
      </c>
      <c r="M7" s="17"/>
      <c r="N7" s="19"/>
      <c r="O7" s="17"/>
    </row>
    <row r="8" spans="1:15" ht="39.6" x14ac:dyDescent="0.3">
      <c r="A8" s="15" t="s">
        <v>870</v>
      </c>
      <c r="B8" s="16" t="s">
        <v>787</v>
      </c>
      <c r="C8" s="16" t="s">
        <v>871</v>
      </c>
      <c r="D8" s="16" t="s">
        <v>872</v>
      </c>
      <c r="E8" s="16" t="s">
        <v>102</v>
      </c>
      <c r="F8" s="16" t="s">
        <v>873</v>
      </c>
      <c r="G8" s="16" t="s">
        <v>102</v>
      </c>
      <c r="H8" s="16" t="s">
        <v>874</v>
      </c>
      <c r="I8" s="15" t="s">
        <v>78</v>
      </c>
      <c r="J8" s="15" t="s">
        <v>79</v>
      </c>
      <c r="K8" s="17"/>
      <c r="L8" s="18" t="s">
        <v>52</v>
      </c>
      <c r="M8" s="17"/>
      <c r="N8" s="19"/>
      <c r="O8" s="17"/>
    </row>
    <row r="9" spans="1:15" ht="26.4" x14ac:dyDescent="0.3">
      <c r="A9" s="15" t="s">
        <v>875</v>
      </c>
      <c r="B9" s="16" t="s">
        <v>787</v>
      </c>
      <c r="C9" s="16" t="s">
        <v>422</v>
      </c>
      <c r="D9" s="16" t="s">
        <v>876</v>
      </c>
      <c r="E9" s="16" t="s">
        <v>102</v>
      </c>
      <c r="F9" s="16" t="s">
        <v>877</v>
      </c>
      <c r="G9" s="16" t="s">
        <v>102</v>
      </c>
      <c r="H9" s="16" t="s">
        <v>878</v>
      </c>
      <c r="I9" s="15" t="s">
        <v>106</v>
      </c>
      <c r="J9" s="15" t="s">
        <v>79</v>
      </c>
      <c r="K9" s="17"/>
      <c r="L9" s="18" t="s">
        <v>52</v>
      </c>
      <c r="M9" s="17"/>
      <c r="N9" s="19"/>
      <c r="O9" s="17"/>
    </row>
    <row r="10" spans="1:15" ht="39.6" x14ac:dyDescent="0.3">
      <c r="A10" s="15" t="s">
        <v>879</v>
      </c>
      <c r="B10" s="16" t="s">
        <v>880</v>
      </c>
      <c r="C10" s="16" t="s">
        <v>834</v>
      </c>
      <c r="D10" s="16" t="s">
        <v>881</v>
      </c>
      <c r="E10" s="16" t="s">
        <v>102</v>
      </c>
      <c r="F10" s="16" t="s">
        <v>882</v>
      </c>
      <c r="G10" s="16" t="s">
        <v>102</v>
      </c>
      <c r="H10" s="16" t="s">
        <v>883</v>
      </c>
      <c r="I10" s="15" t="s">
        <v>78</v>
      </c>
      <c r="J10" s="15" t="s">
        <v>79</v>
      </c>
      <c r="K10" s="17"/>
      <c r="L10" s="18" t="s">
        <v>52</v>
      </c>
      <c r="M10" s="17"/>
      <c r="N10" s="19"/>
      <c r="O10" s="17"/>
    </row>
    <row r="11" spans="1:15" ht="39.6" x14ac:dyDescent="0.3">
      <c r="A11" s="15" t="s">
        <v>884</v>
      </c>
      <c r="B11" s="16" t="s">
        <v>880</v>
      </c>
      <c r="C11" s="16" t="s">
        <v>857</v>
      </c>
      <c r="D11" s="16" t="s">
        <v>885</v>
      </c>
      <c r="E11" s="16" t="s">
        <v>102</v>
      </c>
      <c r="F11" s="16" t="s">
        <v>886</v>
      </c>
      <c r="G11" s="16" t="s">
        <v>102</v>
      </c>
      <c r="H11" s="16" t="s">
        <v>887</v>
      </c>
      <c r="I11" s="15" t="s">
        <v>78</v>
      </c>
      <c r="J11" s="15" t="s">
        <v>79</v>
      </c>
      <c r="K11" s="17"/>
      <c r="L11" s="18" t="s">
        <v>52</v>
      </c>
      <c r="M11" s="17"/>
      <c r="N11" s="19"/>
      <c r="O11" s="17"/>
    </row>
    <row r="12" spans="1:15" ht="26.4" x14ac:dyDescent="0.3">
      <c r="A12" s="15" t="s">
        <v>888</v>
      </c>
      <c r="B12" s="16" t="s">
        <v>880</v>
      </c>
      <c r="C12" s="16" t="s">
        <v>146</v>
      </c>
      <c r="D12" s="16" t="s">
        <v>889</v>
      </c>
      <c r="E12" s="16" t="s">
        <v>102</v>
      </c>
      <c r="F12" s="16" t="s">
        <v>890</v>
      </c>
      <c r="G12" s="16" t="s">
        <v>102</v>
      </c>
      <c r="H12" s="16" t="s">
        <v>891</v>
      </c>
      <c r="I12" s="15" t="s">
        <v>106</v>
      </c>
      <c r="J12" s="15" t="s">
        <v>99</v>
      </c>
      <c r="K12" s="17"/>
      <c r="L12" s="18" t="s">
        <v>52</v>
      </c>
      <c r="M12" s="17"/>
      <c r="N12" s="19"/>
      <c r="O12" s="17"/>
    </row>
    <row r="13" spans="1:15" ht="39.6" x14ac:dyDescent="0.3">
      <c r="A13" s="15" t="s">
        <v>892</v>
      </c>
      <c r="B13" s="16" t="s">
        <v>880</v>
      </c>
      <c r="C13" s="16" t="s">
        <v>893</v>
      </c>
      <c r="D13" s="16" t="s">
        <v>894</v>
      </c>
      <c r="E13" s="16" t="s">
        <v>102</v>
      </c>
      <c r="F13" s="16" t="s">
        <v>895</v>
      </c>
      <c r="G13" s="16" t="s">
        <v>102</v>
      </c>
      <c r="H13" s="16" t="s">
        <v>896</v>
      </c>
      <c r="I13" s="15" t="s">
        <v>78</v>
      </c>
      <c r="J13" s="15" t="s">
        <v>99</v>
      </c>
      <c r="K13" s="17"/>
      <c r="L13" s="18" t="s">
        <v>52</v>
      </c>
      <c r="M13" s="17"/>
      <c r="N13" s="19"/>
      <c r="O13" s="17"/>
    </row>
    <row r="14" spans="1:15" ht="26.4" x14ac:dyDescent="0.3">
      <c r="A14" s="15" t="s">
        <v>897</v>
      </c>
      <c r="B14" s="16" t="s">
        <v>880</v>
      </c>
      <c r="C14" s="16" t="s">
        <v>898</v>
      </c>
      <c r="D14" s="16" t="s">
        <v>899</v>
      </c>
      <c r="E14" s="16" t="s">
        <v>102</v>
      </c>
      <c r="F14" s="16" t="s">
        <v>900</v>
      </c>
      <c r="G14" s="16" t="s">
        <v>102</v>
      </c>
      <c r="H14" s="16" t="s">
        <v>901</v>
      </c>
      <c r="I14" s="15" t="s">
        <v>106</v>
      </c>
      <c r="J14" s="15" t="s">
        <v>79</v>
      </c>
      <c r="K14" s="17"/>
      <c r="L14" s="18" t="s">
        <v>52</v>
      </c>
      <c r="M14" s="17"/>
      <c r="N14" s="19"/>
      <c r="O14" s="17"/>
    </row>
    <row r="15" spans="1:15" ht="26.4" x14ac:dyDescent="0.3">
      <c r="A15" s="15" t="s">
        <v>902</v>
      </c>
      <c r="B15" s="16" t="s">
        <v>880</v>
      </c>
      <c r="C15" s="16" t="s">
        <v>903</v>
      </c>
      <c r="D15" s="16" t="s">
        <v>904</v>
      </c>
      <c r="E15" s="16" t="s">
        <v>905</v>
      </c>
      <c r="F15" s="16" t="s">
        <v>906</v>
      </c>
      <c r="G15" s="16" t="s">
        <v>102</v>
      </c>
      <c r="H15" s="16" t="s">
        <v>907</v>
      </c>
      <c r="I15" s="15" t="s">
        <v>126</v>
      </c>
      <c r="J15" s="15" t="s">
        <v>79</v>
      </c>
      <c r="K15" s="17"/>
      <c r="L15" s="18" t="s">
        <v>52</v>
      </c>
      <c r="M15" s="17"/>
      <c r="N15" s="19"/>
      <c r="O15" s="17"/>
    </row>
    <row r="16" spans="1:15" ht="52.8" x14ac:dyDescent="0.3">
      <c r="A16" s="15" t="s">
        <v>908</v>
      </c>
      <c r="B16" s="16" t="s">
        <v>909</v>
      </c>
      <c r="C16" s="16" t="s">
        <v>834</v>
      </c>
      <c r="D16" s="16" t="s">
        <v>910</v>
      </c>
      <c r="E16" s="16" t="s">
        <v>102</v>
      </c>
      <c r="F16" s="16" t="s">
        <v>911</v>
      </c>
      <c r="G16" s="16" t="s">
        <v>102</v>
      </c>
      <c r="H16" s="16" t="s">
        <v>912</v>
      </c>
      <c r="I16" s="15" t="s">
        <v>78</v>
      </c>
      <c r="J16" s="15" t="s">
        <v>79</v>
      </c>
      <c r="K16" s="17"/>
      <c r="L16" s="18" t="s">
        <v>52</v>
      </c>
      <c r="M16" s="17"/>
      <c r="N16" s="19"/>
      <c r="O16" s="17"/>
    </row>
    <row r="17" spans="1:15" x14ac:dyDescent="0.3">
      <c r="A17" s="15" t="s">
        <v>913</v>
      </c>
      <c r="B17" s="16" t="s">
        <v>909</v>
      </c>
      <c r="C17" s="16" t="s">
        <v>914</v>
      </c>
      <c r="D17" s="16" t="s">
        <v>915</v>
      </c>
      <c r="E17" s="16" t="s">
        <v>916</v>
      </c>
      <c r="F17" s="16" t="s">
        <v>917</v>
      </c>
      <c r="G17" s="16" t="s">
        <v>102</v>
      </c>
      <c r="H17" s="16" t="s">
        <v>918</v>
      </c>
      <c r="I17" s="15" t="s">
        <v>106</v>
      </c>
      <c r="J17" s="15" t="s">
        <v>79</v>
      </c>
      <c r="K17" s="17"/>
      <c r="L17" s="18" t="s">
        <v>52</v>
      </c>
      <c r="M17" s="17"/>
      <c r="N17" s="19"/>
      <c r="O17" s="17"/>
    </row>
    <row r="18" spans="1:15" ht="26.4" x14ac:dyDescent="0.3">
      <c r="A18" s="15" t="s">
        <v>919</v>
      </c>
      <c r="B18" s="16" t="s">
        <v>909</v>
      </c>
      <c r="C18" s="16" t="s">
        <v>146</v>
      </c>
      <c r="D18" s="16" t="s">
        <v>920</v>
      </c>
      <c r="E18" s="16" t="s">
        <v>102</v>
      </c>
      <c r="F18" s="16" t="s">
        <v>921</v>
      </c>
      <c r="G18" s="16" t="s">
        <v>102</v>
      </c>
      <c r="H18" s="16" t="s">
        <v>922</v>
      </c>
      <c r="I18" s="15" t="s">
        <v>106</v>
      </c>
      <c r="J18" s="15" t="s">
        <v>112</v>
      </c>
      <c r="K18" s="17"/>
      <c r="L18" s="18" t="s">
        <v>52</v>
      </c>
      <c r="M18" s="17"/>
      <c r="N18" s="19"/>
      <c r="O18" s="17"/>
    </row>
    <row r="19" spans="1:15" x14ac:dyDescent="0.3">
      <c r="A19" s="15" t="s">
        <v>923</v>
      </c>
      <c r="B19" s="16" t="s">
        <v>909</v>
      </c>
      <c r="C19" s="16" t="s">
        <v>422</v>
      </c>
      <c r="D19" s="16" t="s">
        <v>677</v>
      </c>
      <c r="E19" s="16" t="s">
        <v>102</v>
      </c>
      <c r="F19" s="16" t="s">
        <v>924</v>
      </c>
      <c r="G19" s="16" t="s">
        <v>102</v>
      </c>
      <c r="H19" s="16" t="s">
        <v>925</v>
      </c>
      <c r="I19" s="15" t="s">
        <v>126</v>
      </c>
      <c r="J19" s="15" t="s">
        <v>79</v>
      </c>
      <c r="K19" s="17"/>
      <c r="L19" s="18" t="s">
        <v>52</v>
      </c>
      <c r="M19" s="17"/>
      <c r="N19" s="19"/>
      <c r="O19" s="17"/>
    </row>
    <row r="20" spans="1:15" ht="26.4" x14ac:dyDescent="0.3">
      <c r="A20" s="15" t="s">
        <v>926</v>
      </c>
      <c r="B20" s="16" t="s">
        <v>909</v>
      </c>
      <c r="C20" s="16" t="s">
        <v>927</v>
      </c>
      <c r="D20" s="16" t="s">
        <v>928</v>
      </c>
      <c r="E20" s="16" t="s">
        <v>102</v>
      </c>
      <c r="F20" s="16" t="s">
        <v>929</v>
      </c>
      <c r="G20" s="16" t="s">
        <v>102</v>
      </c>
      <c r="H20" s="16" t="s">
        <v>930</v>
      </c>
      <c r="I20" s="15" t="s">
        <v>106</v>
      </c>
      <c r="J20" s="15" t="s">
        <v>79</v>
      </c>
      <c r="K20" s="17"/>
      <c r="L20" s="18" t="s">
        <v>52</v>
      </c>
      <c r="M20" s="17"/>
      <c r="N20" s="19"/>
      <c r="O20" s="17"/>
    </row>
    <row r="21" spans="1:15" ht="26.4" x14ac:dyDescent="0.3">
      <c r="A21" s="15" t="s">
        <v>931</v>
      </c>
      <c r="B21" s="16" t="s">
        <v>932</v>
      </c>
      <c r="C21" s="16" t="s">
        <v>577</v>
      </c>
      <c r="D21" s="16" t="s">
        <v>933</v>
      </c>
      <c r="E21" s="16" t="s">
        <v>102</v>
      </c>
      <c r="F21" s="16" t="s">
        <v>934</v>
      </c>
      <c r="G21" s="16" t="s">
        <v>102</v>
      </c>
      <c r="H21" s="16" t="s">
        <v>935</v>
      </c>
      <c r="I21" s="15" t="s">
        <v>106</v>
      </c>
      <c r="J21" s="15" t="s">
        <v>79</v>
      </c>
      <c r="K21" s="17"/>
      <c r="L21" s="18" t="s">
        <v>52</v>
      </c>
      <c r="M21" s="17"/>
      <c r="N21" s="19"/>
      <c r="O21" s="17"/>
    </row>
    <row r="22" spans="1:15" ht="66" x14ac:dyDescent="0.3">
      <c r="A22" s="15" t="s">
        <v>936</v>
      </c>
      <c r="B22" s="16" t="s">
        <v>937</v>
      </c>
      <c r="C22" s="16" t="s">
        <v>938</v>
      </c>
      <c r="D22" s="16" t="s">
        <v>939</v>
      </c>
      <c r="E22" s="16" t="s">
        <v>102</v>
      </c>
      <c r="F22" s="16" t="s">
        <v>940</v>
      </c>
      <c r="G22" s="16" t="s">
        <v>102</v>
      </c>
      <c r="H22" s="16" t="s">
        <v>941</v>
      </c>
      <c r="I22" s="15" t="s">
        <v>78</v>
      </c>
      <c r="J22" s="15" t="s">
        <v>79</v>
      </c>
      <c r="K22" s="17"/>
      <c r="L22" s="18" t="s">
        <v>52</v>
      </c>
      <c r="M22" s="17"/>
      <c r="N22" s="19"/>
      <c r="O22" s="17"/>
    </row>
    <row r="23" spans="1:15" ht="26.4" x14ac:dyDescent="0.3">
      <c r="A23" s="15" t="s">
        <v>942</v>
      </c>
      <c r="B23" s="16" t="s">
        <v>937</v>
      </c>
      <c r="C23" s="16" t="s">
        <v>146</v>
      </c>
      <c r="D23" s="16" t="s">
        <v>943</v>
      </c>
      <c r="E23" s="16" t="s">
        <v>102</v>
      </c>
      <c r="F23" s="16" t="s">
        <v>944</v>
      </c>
      <c r="G23" s="16" t="s">
        <v>102</v>
      </c>
      <c r="H23" s="16" t="s">
        <v>945</v>
      </c>
      <c r="I23" s="15" t="s">
        <v>106</v>
      </c>
      <c r="J23" s="15" t="s">
        <v>99</v>
      </c>
      <c r="K23" s="17"/>
      <c r="L23" s="18" t="s">
        <v>52</v>
      </c>
      <c r="M23" s="17"/>
      <c r="N23" s="19"/>
      <c r="O23" s="17"/>
    </row>
    <row r="24" spans="1:15" ht="26.4" x14ac:dyDescent="0.3">
      <c r="A24" s="15" t="s">
        <v>946</v>
      </c>
      <c r="B24" s="16" t="s">
        <v>937</v>
      </c>
      <c r="C24" s="16" t="s">
        <v>146</v>
      </c>
      <c r="D24" s="16" t="s">
        <v>947</v>
      </c>
      <c r="E24" s="16" t="s">
        <v>102</v>
      </c>
      <c r="F24" s="16" t="s">
        <v>948</v>
      </c>
      <c r="G24" s="16" t="s">
        <v>102</v>
      </c>
      <c r="H24" s="16" t="s">
        <v>949</v>
      </c>
      <c r="I24" s="15" t="s">
        <v>106</v>
      </c>
      <c r="J24" s="15" t="s">
        <v>112</v>
      </c>
      <c r="K24" s="17"/>
      <c r="L24" s="18" t="s">
        <v>52</v>
      </c>
      <c r="M24" s="17"/>
      <c r="N24" s="19"/>
      <c r="O24" s="17"/>
    </row>
    <row r="25" spans="1:15" ht="26.4" x14ac:dyDescent="0.3">
      <c r="A25" s="15" t="s">
        <v>950</v>
      </c>
      <c r="B25" s="16" t="s">
        <v>937</v>
      </c>
      <c r="C25" s="16" t="s">
        <v>146</v>
      </c>
      <c r="D25" s="16" t="s">
        <v>951</v>
      </c>
      <c r="E25" s="16" t="s">
        <v>102</v>
      </c>
      <c r="F25" s="16" t="s">
        <v>952</v>
      </c>
      <c r="G25" s="16" t="s">
        <v>102</v>
      </c>
      <c r="H25" s="16" t="s">
        <v>953</v>
      </c>
      <c r="I25" s="15" t="s">
        <v>106</v>
      </c>
      <c r="J25" s="15" t="s">
        <v>112</v>
      </c>
      <c r="K25" s="17"/>
      <c r="L25" s="18" t="s">
        <v>52</v>
      </c>
      <c r="M25" s="17"/>
      <c r="N25" s="19"/>
      <c r="O25" s="17"/>
    </row>
    <row r="26" spans="1:15" ht="26.4" x14ac:dyDescent="0.3">
      <c r="A26" s="15" t="s">
        <v>954</v>
      </c>
      <c r="B26" s="16" t="s">
        <v>937</v>
      </c>
      <c r="C26" s="16" t="s">
        <v>8</v>
      </c>
      <c r="D26" s="16" t="s">
        <v>955</v>
      </c>
      <c r="E26" s="16" t="s">
        <v>102</v>
      </c>
      <c r="F26" s="16" t="s">
        <v>956</v>
      </c>
      <c r="G26" s="16" t="s">
        <v>102</v>
      </c>
      <c r="H26" s="16" t="s">
        <v>957</v>
      </c>
      <c r="I26" s="15" t="s">
        <v>78</v>
      </c>
      <c r="J26" s="15" t="s">
        <v>79</v>
      </c>
      <c r="K26" s="17"/>
      <c r="L26" s="18" t="s">
        <v>52</v>
      </c>
      <c r="M26" s="17"/>
      <c r="N26" s="19"/>
      <c r="O26" s="17"/>
    </row>
    <row r="27" spans="1:15" ht="39.6" x14ac:dyDescent="0.3">
      <c r="A27" s="15" t="s">
        <v>958</v>
      </c>
      <c r="B27" s="16" t="s">
        <v>959</v>
      </c>
      <c r="C27" s="16" t="s">
        <v>960</v>
      </c>
      <c r="D27" s="16" t="s">
        <v>961</v>
      </c>
      <c r="E27" s="16" t="s">
        <v>102</v>
      </c>
      <c r="F27" s="16" t="s">
        <v>962</v>
      </c>
      <c r="G27" s="16" t="s">
        <v>102</v>
      </c>
      <c r="H27" s="16" t="s">
        <v>963</v>
      </c>
      <c r="I27" s="15" t="s">
        <v>78</v>
      </c>
      <c r="J27" s="15" t="s">
        <v>79</v>
      </c>
      <c r="K27" s="17"/>
      <c r="L27" s="18" t="s">
        <v>52</v>
      </c>
      <c r="M27" s="17"/>
      <c r="N27" s="19"/>
      <c r="O27" s="17"/>
    </row>
    <row r="28" spans="1:15" ht="26.4" x14ac:dyDescent="0.3">
      <c r="A28" s="15" t="s">
        <v>964</v>
      </c>
      <c r="B28" s="16" t="s">
        <v>965</v>
      </c>
      <c r="C28" s="16" t="s">
        <v>146</v>
      </c>
      <c r="D28" s="16" t="s">
        <v>966</v>
      </c>
      <c r="E28" s="16" t="s">
        <v>102</v>
      </c>
      <c r="F28" s="16" t="s">
        <v>967</v>
      </c>
      <c r="G28" s="16" t="s">
        <v>102</v>
      </c>
      <c r="H28" s="16" t="s">
        <v>968</v>
      </c>
      <c r="I28" s="15" t="s">
        <v>106</v>
      </c>
      <c r="J28" s="15" t="s">
        <v>112</v>
      </c>
      <c r="K28" s="17"/>
      <c r="L28" s="18" t="s">
        <v>52</v>
      </c>
      <c r="M28" s="17"/>
      <c r="N28" s="19"/>
      <c r="O28" s="17"/>
    </row>
    <row r="29" spans="1:15" ht="26.4" x14ac:dyDescent="0.3">
      <c r="A29" s="15" t="s">
        <v>969</v>
      </c>
      <c r="B29" s="16" t="s">
        <v>965</v>
      </c>
      <c r="C29" s="16" t="s">
        <v>146</v>
      </c>
      <c r="D29" s="16" t="s">
        <v>970</v>
      </c>
      <c r="E29" s="16" t="s">
        <v>102</v>
      </c>
      <c r="F29" s="16" t="s">
        <v>971</v>
      </c>
      <c r="G29" s="16" t="s">
        <v>102</v>
      </c>
      <c r="H29" s="16" t="s">
        <v>972</v>
      </c>
      <c r="I29" s="15" t="s">
        <v>106</v>
      </c>
      <c r="J29" s="15" t="s">
        <v>112</v>
      </c>
      <c r="K29" s="17"/>
      <c r="L29" s="18" t="s">
        <v>52</v>
      </c>
      <c r="M29" s="17"/>
      <c r="N29" s="19"/>
      <c r="O29" s="17"/>
    </row>
    <row r="30" spans="1:15" ht="39.6" x14ac:dyDescent="0.3">
      <c r="A30" s="15" t="s">
        <v>973</v>
      </c>
      <c r="B30" s="16" t="s">
        <v>974</v>
      </c>
      <c r="C30" s="16" t="s">
        <v>439</v>
      </c>
      <c r="D30" s="16" t="s">
        <v>975</v>
      </c>
      <c r="E30" s="16" t="s">
        <v>976</v>
      </c>
      <c r="F30" s="16" t="s">
        <v>977</v>
      </c>
      <c r="G30" s="16" t="s">
        <v>102</v>
      </c>
      <c r="H30" s="16" t="s">
        <v>978</v>
      </c>
      <c r="I30" s="15" t="s">
        <v>126</v>
      </c>
      <c r="J30" s="15" t="s">
        <v>79</v>
      </c>
      <c r="K30" s="17"/>
      <c r="L30" s="18" t="s">
        <v>52</v>
      </c>
      <c r="M30" s="17"/>
      <c r="N30" s="19"/>
      <c r="O30" s="17"/>
    </row>
    <row r="31" spans="1:15" ht="52.8" x14ac:dyDescent="0.3">
      <c r="A31" s="15" t="s">
        <v>979</v>
      </c>
      <c r="B31" s="16" t="s">
        <v>974</v>
      </c>
      <c r="C31" s="16" t="s">
        <v>980</v>
      </c>
      <c r="D31" s="16" t="s">
        <v>981</v>
      </c>
      <c r="E31" s="16" t="s">
        <v>102</v>
      </c>
      <c r="F31" s="16" t="s">
        <v>982</v>
      </c>
      <c r="G31" s="16" t="s">
        <v>102</v>
      </c>
      <c r="H31" s="16" t="s">
        <v>983</v>
      </c>
      <c r="I31" s="15" t="s">
        <v>78</v>
      </c>
      <c r="J31" s="15" t="s">
        <v>79</v>
      </c>
      <c r="K31" s="17"/>
      <c r="L31" s="18" t="s">
        <v>52</v>
      </c>
      <c r="M31" s="17"/>
      <c r="N31" s="19"/>
      <c r="O31" s="17"/>
    </row>
    <row r="32" spans="1:15" ht="26.4" x14ac:dyDescent="0.3">
      <c r="A32" s="15" t="s">
        <v>984</v>
      </c>
      <c r="B32" s="16" t="s">
        <v>974</v>
      </c>
      <c r="C32" s="16" t="s">
        <v>980</v>
      </c>
      <c r="D32" s="16" t="s">
        <v>811</v>
      </c>
      <c r="E32" s="16" t="s">
        <v>102</v>
      </c>
      <c r="F32" s="16" t="s">
        <v>985</v>
      </c>
      <c r="G32" s="16" t="s">
        <v>102</v>
      </c>
      <c r="H32" s="16" t="s">
        <v>986</v>
      </c>
      <c r="I32" s="15" t="s">
        <v>106</v>
      </c>
      <c r="J32" s="15" t="s">
        <v>99</v>
      </c>
      <c r="K32" s="17"/>
      <c r="L32" s="18" t="s">
        <v>52</v>
      </c>
      <c r="M32" s="17"/>
      <c r="N32" s="19"/>
      <c r="O32" s="17"/>
    </row>
    <row r="33" spans="1:15" x14ac:dyDescent="0.3">
      <c r="A33" s="15" t="s">
        <v>987</v>
      </c>
      <c r="B33" s="16" t="s">
        <v>974</v>
      </c>
      <c r="C33" s="16" t="s">
        <v>980</v>
      </c>
      <c r="D33" s="16" t="s">
        <v>988</v>
      </c>
      <c r="E33" s="16" t="s">
        <v>102</v>
      </c>
      <c r="F33" s="16" t="s">
        <v>989</v>
      </c>
      <c r="G33" s="16" t="s">
        <v>102</v>
      </c>
      <c r="H33" s="16" t="s">
        <v>990</v>
      </c>
      <c r="I33" s="15" t="s">
        <v>106</v>
      </c>
      <c r="J33" s="15" t="s">
        <v>112</v>
      </c>
      <c r="K33" s="17"/>
      <c r="L33" s="18" t="s">
        <v>52</v>
      </c>
      <c r="M33" s="17"/>
      <c r="N33" s="19"/>
      <c r="O33" s="17"/>
    </row>
    <row r="34" spans="1:15" ht="26.4" x14ac:dyDescent="0.3">
      <c r="A34" s="15" t="s">
        <v>991</v>
      </c>
      <c r="B34" s="16" t="s">
        <v>974</v>
      </c>
      <c r="C34" s="16" t="s">
        <v>460</v>
      </c>
      <c r="D34" s="16" t="s">
        <v>992</v>
      </c>
      <c r="E34" s="16" t="s">
        <v>993</v>
      </c>
      <c r="F34" s="16" t="s">
        <v>994</v>
      </c>
      <c r="G34" s="16" t="s">
        <v>102</v>
      </c>
      <c r="H34" s="16" t="s">
        <v>995</v>
      </c>
      <c r="I34" s="15" t="s">
        <v>106</v>
      </c>
      <c r="J34" s="15" t="s">
        <v>79</v>
      </c>
      <c r="K34" s="17"/>
      <c r="L34" s="18" t="s">
        <v>52</v>
      </c>
      <c r="M34" s="17"/>
      <c r="N34" s="19"/>
      <c r="O34" s="17"/>
    </row>
    <row r="35" spans="1:15" ht="39.6" x14ac:dyDescent="0.3">
      <c r="A35" s="15" t="s">
        <v>996</v>
      </c>
      <c r="B35" s="16" t="s">
        <v>997</v>
      </c>
      <c r="C35" s="16" t="s">
        <v>998</v>
      </c>
      <c r="D35" s="16" t="s">
        <v>999</v>
      </c>
      <c r="E35" s="16" t="s">
        <v>102</v>
      </c>
      <c r="F35" s="16" t="s">
        <v>1000</v>
      </c>
      <c r="G35" s="16" t="s">
        <v>102</v>
      </c>
      <c r="H35" s="16" t="s">
        <v>1001</v>
      </c>
      <c r="I35" s="15" t="s">
        <v>106</v>
      </c>
      <c r="J35" s="15" t="s">
        <v>79</v>
      </c>
      <c r="K35" s="17"/>
      <c r="L35" s="18" t="s">
        <v>52</v>
      </c>
      <c r="M35" s="17"/>
      <c r="N35" s="19"/>
      <c r="O35" s="17"/>
    </row>
    <row r="36" spans="1:15" ht="39.6" x14ac:dyDescent="0.3">
      <c r="A36" s="15" t="s">
        <v>1002</v>
      </c>
      <c r="B36" s="16" t="s">
        <v>997</v>
      </c>
      <c r="C36" s="16" t="s">
        <v>998</v>
      </c>
      <c r="D36" s="16" t="s">
        <v>1003</v>
      </c>
      <c r="E36" s="16" t="s">
        <v>102</v>
      </c>
      <c r="F36" s="16" t="s">
        <v>1004</v>
      </c>
      <c r="G36" s="16" t="s">
        <v>102</v>
      </c>
      <c r="H36" s="16" t="s">
        <v>1005</v>
      </c>
      <c r="I36" s="15" t="s">
        <v>106</v>
      </c>
      <c r="J36" s="15" t="s">
        <v>79</v>
      </c>
      <c r="K36" s="17"/>
      <c r="L36" s="18" t="s">
        <v>52</v>
      </c>
      <c r="M36" s="17"/>
      <c r="N36" s="19"/>
      <c r="O36" s="17"/>
    </row>
    <row r="37" spans="1:15" ht="39.6" x14ac:dyDescent="0.3">
      <c r="A37" s="15" t="s">
        <v>1006</v>
      </c>
      <c r="B37" s="16" t="s">
        <v>997</v>
      </c>
      <c r="C37" s="16" t="s">
        <v>146</v>
      </c>
      <c r="D37" s="16" t="s">
        <v>1007</v>
      </c>
      <c r="E37" s="16" t="s">
        <v>102</v>
      </c>
      <c r="F37" s="16" t="s">
        <v>1008</v>
      </c>
      <c r="G37" s="16" t="s">
        <v>102</v>
      </c>
      <c r="H37" s="16" t="s">
        <v>813</v>
      </c>
      <c r="I37" s="15" t="s">
        <v>106</v>
      </c>
      <c r="J37" s="15" t="s">
        <v>112</v>
      </c>
      <c r="K37" s="17"/>
      <c r="L37" s="18" t="s">
        <v>52</v>
      </c>
      <c r="M37" s="17"/>
      <c r="N37" s="19"/>
      <c r="O37" s="17"/>
    </row>
    <row r="38" spans="1:15" ht="52.8" x14ac:dyDescent="0.3">
      <c r="A38" s="15" t="s">
        <v>1009</v>
      </c>
      <c r="B38" s="16" t="s">
        <v>1010</v>
      </c>
      <c r="C38" s="16" t="s">
        <v>1011</v>
      </c>
      <c r="D38" s="16" t="s">
        <v>1012</v>
      </c>
      <c r="E38" s="16" t="s">
        <v>102</v>
      </c>
      <c r="F38" s="16" t="s">
        <v>1013</v>
      </c>
      <c r="G38" s="16" t="s">
        <v>102</v>
      </c>
      <c r="H38" s="16" t="s">
        <v>1014</v>
      </c>
      <c r="I38" s="15" t="s">
        <v>126</v>
      </c>
      <c r="J38" s="15" t="s">
        <v>79</v>
      </c>
      <c r="K38" s="17"/>
      <c r="L38" s="18" t="s">
        <v>52</v>
      </c>
      <c r="M38" s="17"/>
      <c r="N38" s="19"/>
      <c r="O38" s="17"/>
    </row>
    <row r="39" spans="1:15" ht="26.4" x14ac:dyDescent="0.3">
      <c r="A39" s="15" t="s">
        <v>1015</v>
      </c>
      <c r="B39" s="16" t="s">
        <v>1016</v>
      </c>
      <c r="C39" s="16" t="s">
        <v>1017</v>
      </c>
      <c r="D39" s="16" t="s">
        <v>1018</v>
      </c>
      <c r="E39" s="16" t="s">
        <v>1019</v>
      </c>
      <c r="F39" s="16" t="s">
        <v>1020</v>
      </c>
      <c r="G39" s="16" t="s">
        <v>102</v>
      </c>
      <c r="H39" s="16" t="s">
        <v>1021</v>
      </c>
      <c r="I39" s="15" t="s">
        <v>78</v>
      </c>
      <c r="J39" s="15" t="s">
        <v>79</v>
      </c>
      <c r="K39" s="17"/>
      <c r="L39" s="18" t="s">
        <v>52</v>
      </c>
      <c r="M39" s="17"/>
      <c r="N39" s="19"/>
      <c r="O39" s="17"/>
    </row>
    <row r="40" spans="1:15" x14ac:dyDescent="0.3">
      <c r="A40" s="15" t="s">
        <v>1022</v>
      </c>
      <c r="B40" s="16" t="s">
        <v>757</v>
      </c>
      <c r="C40" s="16" t="s">
        <v>758</v>
      </c>
      <c r="D40" s="16" t="s">
        <v>1023</v>
      </c>
      <c r="E40" s="16" t="s">
        <v>102</v>
      </c>
      <c r="F40" s="16" t="s">
        <v>1024</v>
      </c>
      <c r="G40" s="16" t="s">
        <v>102</v>
      </c>
      <c r="H40" s="16" t="s">
        <v>1025</v>
      </c>
      <c r="I40" s="15" t="s">
        <v>78</v>
      </c>
      <c r="J40" s="15" t="s">
        <v>79</v>
      </c>
      <c r="K40" s="17"/>
      <c r="L40" s="18" t="s">
        <v>52</v>
      </c>
      <c r="M40" s="17"/>
      <c r="N40" s="19"/>
      <c r="O40" s="17"/>
    </row>
    <row r="41" spans="1:15" ht="39.6" x14ac:dyDescent="0.3">
      <c r="A41" s="15" t="s">
        <v>1026</v>
      </c>
      <c r="B41" s="16" t="s">
        <v>1027</v>
      </c>
      <c r="C41" s="16" t="s">
        <v>1028</v>
      </c>
      <c r="D41" s="16" t="s">
        <v>1029</v>
      </c>
      <c r="E41" s="16" t="s">
        <v>102</v>
      </c>
      <c r="F41" s="16" t="s">
        <v>1030</v>
      </c>
      <c r="G41" s="16" t="s">
        <v>102</v>
      </c>
      <c r="H41" s="16" t="s">
        <v>1014</v>
      </c>
      <c r="I41" s="15" t="s">
        <v>106</v>
      </c>
      <c r="J41" s="15" t="s">
        <v>79</v>
      </c>
      <c r="K41" s="17"/>
      <c r="L41" s="18" t="s">
        <v>52</v>
      </c>
      <c r="M41" s="17"/>
      <c r="N41" s="19"/>
      <c r="O41" s="17"/>
    </row>
    <row r="42" spans="1:15" ht="39.6" x14ac:dyDescent="0.3">
      <c r="A42" s="15" t="s">
        <v>1031</v>
      </c>
      <c r="B42" s="16" t="s">
        <v>1027</v>
      </c>
      <c r="C42" s="16" t="s">
        <v>1032</v>
      </c>
      <c r="D42" s="16" t="s">
        <v>1033</v>
      </c>
      <c r="E42" s="16" t="s">
        <v>102</v>
      </c>
      <c r="F42" s="16" t="s">
        <v>1034</v>
      </c>
      <c r="G42" s="16" t="s">
        <v>102</v>
      </c>
      <c r="H42" s="16" t="s">
        <v>1035</v>
      </c>
      <c r="I42" s="15" t="s">
        <v>106</v>
      </c>
      <c r="J42" s="15" t="s">
        <v>79</v>
      </c>
      <c r="K42" s="17"/>
      <c r="L42" s="18" t="s">
        <v>52</v>
      </c>
      <c r="M42" s="17"/>
      <c r="N42" s="19"/>
      <c r="O42" s="17"/>
    </row>
    <row r="43" spans="1:15" ht="39.6" x14ac:dyDescent="0.3">
      <c r="A43" s="15" t="s">
        <v>1036</v>
      </c>
      <c r="B43" s="16" t="s">
        <v>1037</v>
      </c>
      <c r="C43" s="16" t="s">
        <v>1038</v>
      </c>
      <c r="D43" s="16" t="s">
        <v>1039</v>
      </c>
      <c r="E43" s="16" t="s">
        <v>102</v>
      </c>
      <c r="F43" s="16" t="s">
        <v>1040</v>
      </c>
      <c r="G43" s="16" t="s">
        <v>102</v>
      </c>
      <c r="H43" s="16" t="s">
        <v>1041</v>
      </c>
      <c r="I43" s="15" t="s">
        <v>78</v>
      </c>
      <c r="J43" s="15" t="s">
        <v>79</v>
      </c>
      <c r="K43" s="17"/>
      <c r="L43" s="18" t="s">
        <v>52</v>
      </c>
      <c r="M43" s="17"/>
      <c r="N43" s="19"/>
      <c r="O43" s="17"/>
    </row>
    <row r="44" spans="1:15" x14ac:dyDescent="0.3">
      <c r="A44" s="15" t="s">
        <v>1042</v>
      </c>
      <c r="B44" s="16" t="s">
        <v>1037</v>
      </c>
      <c r="C44" s="16" t="s">
        <v>1043</v>
      </c>
      <c r="D44" s="16" t="s">
        <v>1044</v>
      </c>
      <c r="E44" s="16" t="s">
        <v>1045</v>
      </c>
      <c r="F44" s="16" t="s">
        <v>754</v>
      </c>
      <c r="G44" s="16" t="s">
        <v>102</v>
      </c>
      <c r="H44" s="16" t="s">
        <v>1046</v>
      </c>
      <c r="I44" s="15" t="s">
        <v>78</v>
      </c>
      <c r="J44" s="15" t="s">
        <v>79</v>
      </c>
      <c r="K44" s="17"/>
      <c r="L44" s="18" t="s">
        <v>52</v>
      </c>
      <c r="M44" s="17"/>
      <c r="N44" s="19"/>
      <c r="O44" s="17"/>
    </row>
    <row r="45" spans="1:15" ht="26.4" x14ac:dyDescent="0.3">
      <c r="A45" s="15" t="s">
        <v>1047</v>
      </c>
      <c r="B45" s="16" t="s">
        <v>1037</v>
      </c>
      <c r="C45" s="16" t="s">
        <v>1048</v>
      </c>
      <c r="D45" s="16" t="s">
        <v>1049</v>
      </c>
      <c r="E45" s="16" t="s">
        <v>102</v>
      </c>
      <c r="F45" s="16" t="s">
        <v>1050</v>
      </c>
      <c r="G45" s="16" t="s">
        <v>102</v>
      </c>
      <c r="H45" s="16" t="s">
        <v>1051</v>
      </c>
      <c r="I45" s="15" t="s">
        <v>106</v>
      </c>
      <c r="J45" s="15" t="s">
        <v>79</v>
      </c>
      <c r="K45" s="17"/>
      <c r="L45" s="18" t="s">
        <v>52</v>
      </c>
      <c r="M45" s="17"/>
      <c r="N45" s="19"/>
      <c r="O45" s="17"/>
    </row>
    <row r="46" spans="1:15" ht="26.4" x14ac:dyDescent="0.3">
      <c r="A46" s="15" t="s">
        <v>1052</v>
      </c>
      <c r="B46" s="16" t="s">
        <v>635</v>
      </c>
      <c r="C46" s="16" t="s">
        <v>1053</v>
      </c>
      <c r="D46" s="16" t="s">
        <v>1054</v>
      </c>
      <c r="E46" s="16" t="s">
        <v>102</v>
      </c>
      <c r="F46" s="16" t="s">
        <v>1055</v>
      </c>
      <c r="G46" s="16" t="s">
        <v>102</v>
      </c>
      <c r="H46" s="16" t="s">
        <v>1056</v>
      </c>
      <c r="I46" s="15" t="s">
        <v>78</v>
      </c>
      <c r="J46" s="15" t="s">
        <v>79</v>
      </c>
      <c r="K46" s="17"/>
      <c r="L46" s="18" t="s">
        <v>52</v>
      </c>
      <c r="M46" s="17"/>
      <c r="N46" s="19"/>
      <c r="O46" s="17"/>
    </row>
    <row r="47" spans="1:15" x14ac:dyDescent="0.3">
      <c r="A47" s="15" t="s">
        <v>1057</v>
      </c>
      <c r="B47" s="16" t="s">
        <v>635</v>
      </c>
      <c r="C47" s="16" t="s">
        <v>146</v>
      </c>
      <c r="D47" s="16" t="s">
        <v>1058</v>
      </c>
      <c r="E47" s="16" t="s">
        <v>102</v>
      </c>
      <c r="F47" s="16" t="s">
        <v>1059</v>
      </c>
      <c r="G47" s="16" t="s">
        <v>102</v>
      </c>
      <c r="H47" s="16" t="s">
        <v>1060</v>
      </c>
      <c r="I47" s="15" t="s">
        <v>106</v>
      </c>
      <c r="J47" s="15" t="s">
        <v>112</v>
      </c>
      <c r="K47" s="17"/>
      <c r="L47" s="18" t="s">
        <v>52</v>
      </c>
      <c r="M47" s="17"/>
      <c r="N47" s="19"/>
      <c r="O47" s="17"/>
    </row>
    <row r="48" spans="1:15" ht="52.8" x14ac:dyDescent="0.3">
      <c r="A48" s="15" t="s">
        <v>1061</v>
      </c>
      <c r="B48" s="16" t="s">
        <v>279</v>
      </c>
      <c r="C48" s="16" t="s">
        <v>1062</v>
      </c>
      <c r="D48" s="16" t="s">
        <v>1063</v>
      </c>
      <c r="E48" s="16" t="s">
        <v>102</v>
      </c>
      <c r="F48" s="16" t="s">
        <v>1064</v>
      </c>
      <c r="G48" s="16" t="s">
        <v>102</v>
      </c>
      <c r="H48" s="16" t="s">
        <v>1065</v>
      </c>
      <c r="I48" s="15" t="s">
        <v>78</v>
      </c>
      <c r="J48" s="15" t="s">
        <v>79</v>
      </c>
      <c r="K48" s="17"/>
      <c r="L48" s="18" t="s">
        <v>52</v>
      </c>
      <c r="M48" s="17"/>
      <c r="N48" s="19"/>
      <c r="O48" s="17"/>
    </row>
    <row r="49" spans="1:15" ht="26.4" x14ac:dyDescent="0.3">
      <c r="A49" s="15" t="s">
        <v>1066</v>
      </c>
      <c r="B49" s="16" t="s">
        <v>279</v>
      </c>
      <c r="C49" s="16" t="s">
        <v>146</v>
      </c>
      <c r="D49" s="16" t="s">
        <v>1067</v>
      </c>
      <c r="E49" s="16" t="s">
        <v>102</v>
      </c>
      <c r="F49" s="16" t="s">
        <v>1068</v>
      </c>
      <c r="G49" s="16" t="s">
        <v>102</v>
      </c>
      <c r="H49" s="16" t="s">
        <v>1069</v>
      </c>
      <c r="I49" s="15" t="s">
        <v>106</v>
      </c>
      <c r="J49" s="15" t="s">
        <v>99</v>
      </c>
      <c r="K49" s="17"/>
      <c r="L49" s="18" t="s">
        <v>52</v>
      </c>
      <c r="M49" s="17"/>
      <c r="N49" s="19"/>
      <c r="O49" s="17"/>
    </row>
    <row r="50" spans="1:15" ht="26.4" x14ac:dyDescent="0.3">
      <c r="A50" s="15" t="s">
        <v>1070</v>
      </c>
      <c r="B50" s="16" t="s">
        <v>279</v>
      </c>
      <c r="C50" s="16" t="s">
        <v>146</v>
      </c>
      <c r="D50" s="16" t="s">
        <v>1071</v>
      </c>
      <c r="E50" s="16" t="s">
        <v>102</v>
      </c>
      <c r="F50" s="16" t="s">
        <v>1072</v>
      </c>
      <c r="G50" s="16" t="s">
        <v>102</v>
      </c>
      <c r="H50" s="16" t="s">
        <v>1073</v>
      </c>
      <c r="I50" s="15" t="s">
        <v>126</v>
      </c>
      <c r="J50" s="15" t="s">
        <v>112</v>
      </c>
      <c r="K50" s="17"/>
      <c r="L50" s="18" t="s">
        <v>52</v>
      </c>
      <c r="M50" s="17"/>
      <c r="N50" s="19"/>
      <c r="O50" s="17"/>
    </row>
    <row r="51" spans="1:15" ht="26.4" x14ac:dyDescent="0.3">
      <c r="A51" s="15" t="s">
        <v>1074</v>
      </c>
      <c r="B51" s="16" t="s">
        <v>279</v>
      </c>
      <c r="C51" s="16" t="s">
        <v>146</v>
      </c>
      <c r="D51" s="16" t="s">
        <v>1075</v>
      </c>
      <c r="E51" s="16" t="s">
        <v>1076</v>
      </c>
      <c r="F51" s="16" t="s">
        <v>1077</v>
      </c>
      <c r="G51" s="16" t="s">
        <v>102</v>
      </c>
      <c r="H51" s="16" t="s">
        <v>1078</v>
      </c>
      <c r="I51" s="15" t="s">
        <v>126</v>
      </c>
      <c r="J51" s="15" t="s">
        <v>99</v>
      </c>
      <c r="K51" s="17"/>
      <c r="L51" s="18" t="s">
        <v>52</v>
      </c>
      <c r="M51" s="17"/>
      <c r="N51" s="19"/>
      <c r="O51" s="17"/>
    </row>
    <row r="52" spans="1:15" x14ac:dyDescent="0.3">
      <c r="A52" s="15" t="s">
        <v>1079</v>
      </c>
      <c r="B52" s="16" t="s">
        <v>279</v>
      </c>
      <c r="C52" s="16" t="s">
        <v>1080</v>
      </c>
      <c r="D52" s="16" t="s">
        <v>1081</v>
      </c>
      <c r="E52" s="16" t="s">
        <v>102</v>
      </c>
      <c r="F52" s="16" t="s">
        <v>1082</v>
      </c>
      <c r="G52" s="16" t="s">
        <v>102</v>
      </c>
      <c r="H52" s="16" t="s">
        <v>1083</v>
      </c>
      <c r="I52" s="15" t="s">
        <v>126</v>
      </c>
      <c r="J52" s="15" t="s">
        <v>79</v>
      </c>
      <c r="K52" s="17"/>
      <c r="L52" s="18" t="s">
        <v>52</v>
      </c>
      <c r="M52" s="17"/>
      <c r="N52" s="19"/>
      <c r="O52" s="17"/>
    </row>
    <row r="53" spans="1:15" ht="39.6" x14ac:dyDescent="0.3">
      <c r="A53" s="15" t="s">
        <v>1084</v>
      </c>
      <c r="B53" s="16" t="s">
        <v>827</v>
      </c>
      <c r="C53" s="16" t="s">
        <v>828</v>
      </c>
      <c r="D53" s="16" t="s">
        <v>1085</v>
      </c>
      <c r="E53" s="16" t="s">
        <v>102</v>
      </c>
      <c r="F53" s="16" t="s">
        <v>1086</v>
      </c>
      <c r="G53" s="16" t="s">
        <v>102</v>
      </c>
      <c r="H53" s="16" t="s">
        <v>1087</v>
      </c>
      <c r="I53" s="15" t="s">
        <v>106</v>
      </c>
      <c r="J53" s="15" t="s">
        <v>79</v>
      </c>
      <c r="K53" s="17"/>
      <c r="L53" s="18" t="s">
        <v>52</v>
      </c>
      <c r="M53" s="17"/>
      <c r="N53" s="19"/>
      <c r="O53" s="17"/>
    </row>
  </sheetData>
  <autoFilter ref="A1:O53" xr:uid="{00000000-0009-0000-0000-000007000000}"/>
  <conditionalFormatting sqref="I2:I253">
    <cfRule type="expression" dxfId="14" priority="5">
      <formula>$I2="Cao"</formula>
    </cfRule>
  </conditionalFormatting>
  <conditionalFormatting sqref="L2:L253">
    <cfRule type="expression" dxfId="13" priority="1">
      <formula>$L2="Pass"</formula>
    </cfRule>
    <cfRule type="expression" dxfId="12" priority="2">
      <formula>$L2="Fail"</formula>
    </cfRule>
    <cfRule type="expression" dxfId="11" priority="3">
      <formula>$L2="Blocked"</formula>
    </cfRule>
    <cfRule type="expression" dxfId="10" priority="4">
      <formula>$L2="Not Run"</formula>
    </cfRule>
  </conditionalFormatting>
  <dataValidations count="1">
    <dataValidation type="list" errorTitle="Trạng thái không hợp lệ" error="Chọn: Not Run / Pass / Fail / Blocked" sqref="L2:L253" xr:uid="{00000000-0002-0000-0700-000000000000}">
      <formula1>"Not Run,Pass,Fail,Blocked"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0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3" width="18" customWidth="1"/>
    <col min="4" max="4" width="34" customWidth="1"/>
    <col min="5" max="5" width="30" customWidth="1"/>
    <col min="6" max="6" width="44" customWidth="1"/>
    <col min="7" max="7" width="22" customWidth="1"/>
    <col min="8" max="8" width="48" customWidth="1"/>
    <col min="9" max="10" width="11" customWidth="1"/>
    <col min="11" max="11" width="30" customWidth="1"/>
    <col min="12" max="12" width="12" customWidth="1"/>
    <col min="13" max="13" width="14" customWidth="1"/>
    <col min="14" max="14" width="12" customWidth="1"/>
    <col min="15" max="15" width="22" customWidth="1"/>
  </cols>
  <sheetData>
    <row r="1" spans="1:15" ht="30" customHeight="1" x14ac:dyDescent="0.3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14</v>
      </c>
      <c r="J1" s="7" t="s">
        <v>16</v>
      </c>
      <c r="K1" s="7" t="s">
        <v>67</v>
      </c>
      <c r="L1" s="7" t="s">
        <v>8</v>
      </c>
      <c r="M1" s="7" t="s">
        <v>68</v>
      </c>
      <c r="N1" s="7" t="s">
        <v>69</v>
      </c>
      <c r="O1" s="7" t="s">
        <v>70</v>
      </c>
    </row>
    <row r="2" spans="1:15" x14ac:dyDescent="0.3">
      <c r="A2" s="15" t="s">
        <v>1088</v>
      </c>
      <c r="B2" s="16" t="s">
        <v>1089</v>
      </c>
      <c r="C2" s="16" t="s">
        <v>421</v>
      </c>
      <c r="D2" s="16" t="s">
        <v>1090</v>
      </c>
      <c r="E2" s="16" t="s">
        <v>1091</v>
      </c>
      <c r="F2" s="16" t="s">
        <v>1092</v>
      </c>
      <c r="G2" s="16" t="s">
        <v>102</v>
      </c>
      <c r="H2" s="16" t="s">
        <v>1093</v>
      </c>
      <c r="I2" s="15" t="s">
        <v>106</v>
      </c>
      <c r="J2" s="15" t="s">
        <v>79</v>
      </c>
      <c r="K2" s="17"/>
      <c r="L2" s="18" t="s">
        <v>52</v>
      </c>
      <c r="M2" s="17"/>
      <c r="N2" s="19"/>
      <c r="O2" s="17"/>
    </row>
    <row r="3" spans="1:15" ht="52.8" x14ac:dyDescent="0.3">
      <c r="A3" s="15" t="s">
        <v>1094</v>
      </c>
      <c r="B3" s="16" t="s">
        <v>1089</v>
      </c>
      <c r="C3" s="16" t="s">
        <v>1095</v>
      </c>
      <c r="D3" s="16" t="s">
        <v>1096</v>
      </c>
      <c r="E3" s="16" t="s">
        <v>102</v>
      </c>
      <c r="F3" s="16" t="s">
        <v>1097</v>
      </c>
      <c r="G3" s="16" t="s">
        <v>102</v>
      </c>
      <c r="H3" s="16" t="s">
        <v>1098</v>
      </c>
      <c r="I3" s="15" t="s">
        <v>78</v>
      </c>
      <c r="J3" s="15" t="s">
        <v>79</v>
      </c>
      <c r="K3" s="17"/>
      <c r="L3" s="18" t="s">
        <v>52</v>
      </c>
      <c r="M3" s="17"/>
      <c r="N3" s="19"/>
      <c r="O3" s="17"/>
    </row>
    <row r="4" spans="1:15" ht="52.8" x14ac:dyDescent="0.3">
      <c r="A4" s="15" t="s">
        <v>1099</v>
      </c>
      <c r="B4" s="16" t="s">
        <v>1089</v>
      </c>
      <c r="C4" s="16" t="s">
        <v>1100</v>
      </c>
      <c r="D4" s="16" t="s">
        <v>1101</v>
      </c>
      <c r="E4" s="16" t="s">
        <v>102</v>
      </c>
      <c r="F4" s="16" t="s">
        <v>1102</v>
      </c>
      <c r="G4" s="16" t="s">
        <v>102</v>
      </c>
      <c r="H4" s="16" t="s">
        <v>1103</v>
      </c>
      <c r="I4" s="15" t="s">
        <v>78</v>
      </c>
      <c r="J4" s="15" t="s">
        <v>79</v>
      </c>
      <c r="K4" s="17"/>
      <c r="L4" s="18" t="s">
        <v>52</v>
      </c>
      <c r="M4" s="17"/>
      <c r="N4" s="19"/>
      <c r="O4" s="17"/>
    </row>
    <row r="5" spans="1:15" ht="26.4" x14ac:dyDescent="0.3">
      <c r="A5" s="15" t="s">
        <v>1104</v>
      </c>
      <c r="B5" s="16" t="s">
        <v>1089</v>
      </c>
      <c r="C5" s="16" t="s">
        <v>42</v>
      </c>
      <c r="D5" s="16" t="s">
        <v>1105</v>
      </c>
      <c r="E5" s="16" t="s">
        <v>102</v>
      </c>
      <c r="F5" s="16" t="s">
        <v>1106</v>
      </c>
      <c r="G5" s="16" t="s">
        <v>102</v>
      </c>
      <c r="H5" s="16" t="s">
        <v>1107</v>
      </c>
      <c r="I5" s="15" t="s">
        <v>78</v>
      </c>
      <c r="J5" s="15" t="s">
        <v>99</v>
      </c>
      <c r="K5" s="17"/>
      <c r="L5" s="18" t="s">
        <v>52</v>
      </c>
      <c r="M5" s="17"/>
      <c r="N5" s="19"/>
      <c r="O5" s="17"/>
    </row>
    <row r="6" spans="1:15" x14ac:dyDescent="0.3">
      <c r="A6" s="15" t="s">
        <v>1108</v>
      </c>
      <c r="B6" s="16" t="s">
        <v>1089</v>
      </c>
      <c r="C6" s="16" t="s">
        <v>42</v>
      </c>
      <c r="D6" s="16" t="s">
        <v>1109</v>
      </c>
      <c r="E6" s="16" t="s">
        <v>102</v>
      </c>
      <c r="F6" s="16" t="s">
        <v>1110</v>
      </c>
      <c r="G6" s="16" t="s">
        <v>102</v>
      </c>
      <c r="H6" s="16" t="s">
        <v>1111</v>
      </c>
      <c r="I6" s="15" t="s">
        <v>78</v>
      </c>
      <c r="J6" s="15" t="s">
        <v>99</v>
      </c>
      <c r="K6" s="17"/>
      <c r="L6" s="18" t="s">
        <v>52</v>
      </c>
      <c r="M6" s="17"/>
      <c r="N6" s="19"/>
      <c r="O6" s="17"/>
    </row>
    <row r="7" spans="1:15" x14ac:dyDescent="0.3">
      <c r="A7" s="15" t="s">
        <v>1112</v>
      </c>
      <c r="B7" s="16" t="s">
        <v>1089</v>
      </c>
      <c r="C7" s="16" t="s">
        <v>42</v>
      </c>
      <c r="D7" s="16" t="s">
        <v>1113</v>
      </c>
      <c r="E7" s="16" t="s">
        <v>102</v>
      </c>
      <c r="F7" s="16" t="s">
        <v>1114</v>
      </c>
      <c r="G7" s="16" t="s">
        <v>102</v>
      </c>
      <c r="H7" s="16" t="s">
        <v>1115</v>
      </c>
      <c r="I7" s="15" t="s">
        <v>78</v>
      </c>
      <c r="J7" s="15" t="s">
        <v>99</v>
      </c>
      <c r="K7" s="17"/>
      <c r="L7" s="18" t="s">
        <v>52</v>
      </c>
      <c r="M7" s="17"/>
      <c r="N7" s="19"/>
      <c r="O7" s="17"/>
    </row>
    <row r="8" spans="1:15" ht="39.6" x14ac:dyDescent="0.3">
      <c r="A8" s="15" t="s">
        <v>1116</v>
      </c>
      <c r="B8" s="16" t="s">
        <v>1089</v>
      </c>
      <c r="C8" s="16" t="s">
        <v>893</v>
      </c>
      <c r="D8" s="16" t="s">
        <v>1117</v>
      </c>
      <c r="E8" s="16" t="s">
        <v>102</v>
      </c>
      <c r="F8" s="16" t="s">
        <v>1118</v>
      </c>
      <c r="G8" s="16" t="s">
        <v>102</v>
      </c>
      <c r="H8" s="16" t="s">
        <v>1119</v>
      </c>
      <c r="I8" s="15" t="s">
        <v>78</v>
      </c>
      <c r="J8" s="15" t="s">
        <v>99</v>
      </c>
      <c r="K8" s="17"/>
      <c r="L8" s="18" t="s">
        <v>52</v>
      </c>
      <c r="M8" s="17"/>
      <c r="N8" s="19"/>
      <c r="O8" s="17"/>
    </row>
    <row r="9" spans="1:15" ht="26.4" x14ac:dyDescent="0.3">
      <c r="A9" s="15" t="s">
        <v>1120</v>
      </c>
      <c r="B9" s="16" t="s">
        <v>1089</v>
      </c>
      <c r="C9" s="16" t="s">
        <v>1121</v>
      </c>
      <c r="D9" s="16" t="s">
        <v>1122</v>
      </c>
      <c r="E9" s="16" t="s">
        <v>1123</v>
      </c>
      <c r="F9" s="16" t="s">
        <v>1124</v>
      </c>
      <c r="G9" s="16" t="s">
        <v>102</v>
      </c>
      <c r="H9" s="16" t="s">
        <v>1125</v>
      </c>
      <c r="I9" s="15" t="s">
        <v>78</v>
      </c>
      <c r="J9" s="15" t="s">
        <v>112</v>
      </c>
      <c r="K9" s="17"/>
      <c r="L9" s="18" t="s">
        <v>52</v>
      </c>
      <c r="M9" s="17"/>
      <c r="N9" s="19"/>
      <c r="O9" s="17"/>
    </row>
    <row r="10" spans="1:15" ht="26.4" x14ac:dyDescent="0.3">
      <c r="A10" s="15" t="s">
        <v>1126</v>
      </c>
      <c r="B10" s="16" t="s">
        <v>1089</v>
      </c>
      <c r="C10" s="16" t="s">
        <v>1121</v>
      </c>
      <c r="D10" s="16" t="s">
        <v>1127</v>
      </c>
      <c r="E10" s="16" t="s">
        <v>1128</v>
      </c>
      <c r="F10" s="16" t="s">
        <v>1129</v>
      </c>
      <c r="G10" s="16" t="s">
        <v>102</v>
      </c>
      <c r="H10" s="16" t="s">
        <v>1130</v>
      </c>
      <c r="I10" s="15" t="s">
        <v>78</v>
      </c>
      <c r="J10" s="15" t="s">
        <v>112</v>
      </c>
      <c r="K10" s="17"/>
      <c r="L10" s="18" t="s">
        <v>52</v>
      </c>
      <c r="M10" s="17"/>
      <c r="N10" s="19"/>
      <c r="O10" s="17"/>
    </row>
    <row r="11" spans="1:15" x14ac:dyDescent="0.3">
      <c r="A11" s="15" t="s">
        <v>1131</v>
      </c>
      <c r="B11" s="16" t="s">
        <v>1089</v>
      </c>
      <c r="C11" s="16" t="s">
        <v>1121</v>
      </c>
      <c r="D11" s="16" t="s">
        <v>1132</v>
      </c>
      <c r="E11" s="16" t="s">
        <v>1133</v>
      </c>
      <c r="F11" s="16" t="s">
        <v>1134</v>
      </c>
      <c r="G11" s="16" t="s">
        <v>102</v>
      </c>
      <c r="H11" s="16" t="s">
        <v>1135</v>
      </c>
      <c r="I11" s="15" t="s">
        <v>106</v>
      </c>
      <c r="J11" s="15" t="s">
        <v>112</v>
      </c>
      <c r="K11" s="17"/>
      <c r="L11" s="18" t="s">
        <v>52</v>
      </c>
      <c r="M11" s="17"/>
      <c r="N11" s="19"/>
      <c r="O11" s="17"/>
    </row>
    <row r="12" spans="1:15" ht="66" x14ac:dyDescent="0.3">
      <c r="A12" s="15" t="s">
        <v>1136</v>
      </c>
      <c r="B12" s="16" t="s">
        <v>1137</v>
      </c>
      <c r="C12" s="16" t="s">
        <v>997</v>
      </c>
      <c r="D12" s="16" t="s">
        <v>1138</v>
      </c>
      <c r="E12" s="16" t="s">
        <v>102</v>
      </c>
      <c r="F12" s="16" t="s">
        <v>1139</v>
      </c>
      <c r="G12" s="16" t="s">
        <v>102</v>
      </c>
      <c r="H12" s="16" t="s">
        <v>1140</v>
      </c>
      <c r="I12" s="15" t="s">
        <v>106</v>
      </c>
      <c r="J12" s="15" t="s">
        <v>79</v>
      </c>
      <c r="K12" s="17"/>
      <c r="L12" s="18" t="s">
        <v>52</v>
      </c>
      <c r="M12" s="17"/>
      <c r="N12" s="19"/>
      <c r="O12" s="17"/>
    </row>
    <row r="13" spans="1:15" ht="26.4" x14ac:dyDescent="0.3">
      <c r="A13" s="15" t="s">
        <v>1141</v>
      </c>
      <c r="B13" s="16" t="s">
        <v>1137</v>
      </c>
      <c r="C13" s="16" t="s">
        <v>997</v>
      </c>
      <c r="D13" s="16" t="s">
        <v>1142</v>
      </c>
      <c r="E13" s="16" t="s">
        <v>102</v>
      </c>
      <c r="F13" s="16" t="s">
        <v>1143</v>
      </c>
      <c r="G13" s="16" t="s">
        <v>102</v>
      </c>
      <c r="H13" s="16" t="s">
        <v>1144</v>
      </c>
      <c r="I13" s="15" t="s">
        <v>126</v>
      </c>
      <c r="J13" s="15" t="s">
        <v>79</v>
      </c>
      <c r="K13" s="17"/>
      <c r="L13" s="18" t="s">
        <v>52</v>
      </c>
      <c r="M13" s="17"/>
      <c r="N13" s="19"/>
      <c r="O13" s="17"/>
    </row>
    <row r="14" spans="1:15" ht="26.4" x14ac:dyDescent="0.3">
      <c r="A14" s="15" t="s">
        <v>1145</v>
      </c>
      <c r="B14" s="16" t="s">
        <v>1146</v>
      </c>
      <c r="C14" s="16" t="s">
        <v>1147</v>
      </c>
      <c r="D14" s="16" t="s">
        <v>1148</v>
      </c>
      <c r="E14" s="16" t="s">
        <v>102</v>
      </c>
      <c r="F14" s="16" t="s">
        <v>1149</v>
      </c>
      <c r="G14" s="16" t="s">
        <v>102</v>
      </c>
      <c r="H14" s="16" t="s">
        <v>1150</v>
      </c>
      <c r="I14" s="15" t="s">
        <v>126</v>
      </c>
      <c r="J14" s="15" t="s">
        <v>79</v>
      </c>
      <c r="K14" s="17"/>
      <c r="L14" s="18" t="s">
        <v>52</v>
      </c>
      <c r="M14" s="17"/>
      <c r="N14" s="19"/>
      <c r="O14" s="17"/>
    </row>
    <row r="15" spans="1:15" ht="26.4" x14ac:dyDescent="0.3">
      <c r="A15" s="15" t="s">
        <v>1151</v>
      </c>
      <c r="B15" s="16" t="s">
        <v>1146</v>
      </c>
      <c r="C15" s="16" t="s">
        <v>1152</v>
      </c>
      <c r="D15" s="16" t="s">
        <v>1153</v>
      </c>
      <c r="E15" s="16" t="s">
        <v>102</v>
      </c>
      <c r="F15" s="16" t="s">
        <v>1154</v>
      </c>
      <c r="G15" s="16" t="s">
        <v>102</v>
      </c>
      <c r="H15" s="16" t="s">
        <v>1155</v>
      </c>
      <c r="I15" s="15" t="s">
        <v>78</v>
      </c>
      <c r="J15" s="15" t="s">
        <v>99</v>
      </c>
      <c r="K15" s="17"/>
      <c r="L15" s="18" t="s">
        <v>52</v>
      </c>
      <c r="M15" s="17"/>
      <c r="N15" s="19"/>
      <c r="O15" s="17"/>
    </row>
    <row r="16" spans="1:15" ht="26.4" x14ac:dyDescent="0.3">
      <c r="A16" s="15" t="s">
        <v>1156</v>
      </c>
      <c r="B16" s="16" t="s">
        <v>1146</v>
      </c>
      <c r="C16" s="16" t="s">
        <v>1152</v>
      </c>
      <c r="D16" s="16" t="s">
        <v>1157</v>
      </c>
      <c r="E16" s="16" t="s">
        <v>102</v>
      </c>
      <c r="F16" s="16" t="s">
        <v>1158</v>
      </c>
      <c r="G16" s="16" t="s">
        <v>102</v>
      </c>
      <c r="H16" s="16" t="s">
        <v>1159</v>
      </c>
      <c r="I16" s="15" t="s">
        <v>78</v>
      </c>
      <c r="J16" s="15" t="s">
        <v>79</v>
      </c>
      <c r="K16" s="17"/>
      <c r="L16" s="18" t="s">
        <v>52</v>
      </c>
      <c r="M16" s="17"/>
      <c r="N16" s="19"/>
      <c r="O16" s="17"/>
    </row>
    <row r="17" spans="1:15" ht="66" x14ac:dyDescent="0.3">
      <c r="A17" s="15" t="s">
        <v>1160</v>
      </c>
      <c r="B17" s="16" t="s">
        <v>1161</v>
      </c>
      <c r="C17" s="16" t="s">
        <v>997</v>
      </c>
      <c r="D17" s="16" t="s">
        <v>1162</v>
      </c>
      <c r="E17" s="16" t="s">
        <v>102</v>
      </c>
      <c r="F17" s="16" t="s">
        <v>1163</v>
      </c>
      <c r="G17" s="16" t="s">
        <v>102</v>
      </c>
      <c r="H17" s="16" t="s">
        <v>1164</v>
      </c>
      <c r="I17" s="15" t="s">
        <v>106</v>
      </c>
      <c r="J17" s="15" t="s">
        <v>79</v>
      </c>
      <c r="K17" s="17"/>
      <c r="L17" s="18" t="s">
        <v>52</v>
      </c>
      <c r="M17" s="17"/>
      <c r="N17" s="19"/>
      <c r="O17" s="17"/>
    </row>
    <row r="18" spans="1:15" ht="39.6" x14ac:dyDescent="0.3">
      <c r="A18" s="15" t="s">
        <v>1165</v>
      </c>
      <c r="B18" s="16" t="s">
        <v>1166</v>
      </c>
      <c r="C18" s="16" t="s">
        <v>1167</v>
      </c>
      <c r="D18" s="16" t="s">
        <v>1168</v>
      </c>
      <c r="E18" s="16" t="s">
        <v>102</v>
      </c>
      <c r="F18" s="16" t="s">
        <v>1169</v>
      </c>
      <c r="G18" s="16" t="s">
        <v>102</v>
      </c>
      <c r="H18" s="16" t="s">
        <v>1170</v>
      </c>
      <c r="I18" s="15" t="s">
        <v>126</v>
      </c>
      <c r="J18" s="15" t="s">
        <v>79</v>
      </c>
      <c r="K18" s="17"/>
      <c r="L18" s="18" t="s">
        <v>52</v>
      </c>
      <c r="M18" s="17"/>
      <c r="N18" s="19"/>
      <c r="O18" s="17"/>
    </row>
    <row r="19" spans="1:15" ht="26.4" x14ac:dyDescent="0.3">
      <c r="A19" s="15" t="s">
        <v>1171</v>
      </c>
      <c r="B19" s="16" t="s">
        <v>1166</v>
      </c>
      <c r="C19" s="16" t="s">
        <v>1080</v>
      </c>
      <c r="D19" s="16" t="s">
        <v>1172</v>
      </c>
      <c r="E19" s="16" t="s">
        <v>102</v>
      </c>
      <c r="F19" s="16" t="s">
        <v>1173</v>
      </c>
      <c r="G19" s="16" t="s">
        <v>102</v>
      </c>
      <c r="H19" s="16" t="s">
        <v>1001</v>
      </c>
      <c r="I19" s="15" t="s">
        <v>126</v>
      </c>
      <c r="J19" s="15" t="s">
        <v>79</v>
      </c>
      <c r="K19" s="17"/>
      <c r="L19" s="18" t="s">
        <v>52</v>
      </c>
      <c r="M19" s="17"/>
      <c r="N19" s="19"/>
      <c r="O19" s="17"/>
    </row>
    <row r="20" spans="1:15" ht="26.4" x14ac:dyDescent="0.3">
      <c r="A20" s="15" t="s">
        <v>1174</v>
      </c>
      <c r="B20" s="16" t="s">
        <v>1175</v>
      </c>
      <c r="C20" s="16" t="s">
        <v>325</v>
      </c>
      <c r="D20" s="16" t="s">
        <v>1176</v>
      </c>
      <c r="E20" s="16" t="s">
        <v>1177</v>
      </c>
      <c r="F20" s="16" t="s">
        <v>1178</v>
      </c>
      <c r="G20" s="16" t="s">
        <v>102</v>
      </c>
      <c r="H20" s="16" t="s">
        <v>1179</v>
      </c>
      <c r="I20" s="15" t="s">
        <v>106</v>
      </c>
      <c r="J20" s="15" t="s">
        <v>79</v>
      </c>
      <c r="K20" s="17"/>
      <c r="L20" s="18" t="s">
        <v>52</v>
      </c>
      <c r="M20" s="17"/>
      <c r="N20" s="19"/>
      <c r="O20" s="17"/>
    </row>
  </sheetData>
  <autoFilter ref="A1:O20" xr:uid="{00000000-0009-0000-0000-000008000000}"/>
  <conditionalFormatting sqref="I2:I220">
    <cfRule type="expression" dxfId="9" priority="5">
      <formula>$I2="Cao"</formula>
    </cfRule>
  </conditionalFormatting>
  <conditionalFormatting sqref="L2:L220">
    <cfRule type="expression" dxfId="8" priority="1">
      <formula>$L2="Pass"</formula>
    </cfRule>
    <cfRule type="expression" dxfId="7" priority="2">
      <formula>$L2="Fail"</formula>
    </cfRule>
    <cfRule type="expression" dxfId="6" priority="3">
      <formula>$L2="Blocked"</formula>
    </cfRule>
    <cfRule type="expression" dxfId="5" priority="4">
      <formula>$L2="Not Run"</formula>
    </cfRule>
  </conditionalFormatting>
  <dataValidations count="1">
    <dataValidation type="list" errorTitle="Trạng thái không hợp lệ" error="Chọn: Not Run / Pass / Fail / Blocked" sqref="L2:L220" xr:uid="{00000000-0002-0000-0800-000000000000}">
      <formula1>"Not Run,Pass,Fail,Blocked"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4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3" width="18" customWidth="1"/>
    <col min="4" max="4" width="34" customWidth="1"/>
    <col min="5" max="5" width="30" customWidth="1"/>
    <col min="6" max="6" width="44" customWidth="1"/>
    <col min="7" max="7" width="22" customWidth="1"/>
    <col min="8" max="8" width="48" customWidth="1"/>
    <col min="9" max="10" width="11" customWidth="1"/>
    <col min="11" max="11" width="30" customWidth="1"/>
    <col min="12" max="12" width="12" customWidth="1"/>
    <col min="13" max="13" width="14" customWidth="1"/>
    <col min="14" max="14" width="12" customWidth="1"/>
    <col min="15" max="15" width="22" customWidth="1"/>
  </cols>
  <sheetData>
    <row r="1" spans="1:15" ht="30" customHeight="1" x14ac:dyDescent="0.3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14</v>
      </c>
      <c r="J1" s="7" t="s">
        <v>16</v>
      </c>
      <c r="K1" s="7" t="s">
        <v>67</v>
      </c>
      <c r="L1" s="7" t="s">
        <v>8</v>
      </c>
      <c r="M1" s="7" t="s">
        <v>68</v>
      </c>
      <c r="N1" s="7" t="s">
        <v>69</v>
      </c>
      <c r="O1" s="7" t="s">
        <v>70</v>
      </c>
    </row>
    <row r="2" spans="1:15" x14ac:dyDescent="0.3">
      <c r="A2" s="15" t="s">
        <v>1180</v>
      </c>
      <c r="B2" s="16" t="s">
        <v>1095</v>
      </c>
      <c r="C2" s="16" t="s">
        <v>1181</v>
      </c>
      <c r="D2" s="16" t="s">
        <v>1182</v>
      </c>
      <c r="E2" s="16" t="s">
        <v>287</v>
      </c>
      <c r="F2" s="16" t="s">
        <v>1183</v>
      </c>
      <c r="G2" s="16" t="s">
        <v>102</v>
      </c>
      <c r="H2" s="16" t="s">
        <v>1184</v>
      </c>
      <c r="I2" s="15" t="s">
        <v>78</v>
      </c>
      <c r="J2" s="15" t="s">
        <v>99</v>
      </c>
      <c r="K2" s="17"/>
      <c r="L2" s="18" t="s">
        <v>52</v>
      </c>
      <c r="M2" s="17"/>
      <c r="N2" s="19"/>
      <c r="O2" s="17"/>
    </row>
    <row r="3" spans="1:15" x14ac:dyDescent="0.3">
      <c r="A3" s="15" t="s">
        <v>1185</v>
      </c>
      <c r="B3" s="16" t="s">
        <v>1095</v>
      </c>
      <c r="C3" s="16" t="s">
        <v>1186</v>
      </c>
      <c r="D3" s="16" t="s">
        <v>1187</v>
      </c>
      <c r="E3" s="16" t="s">
        <v>102</v>
      </c>
      <c r="F3" s="16" t="s">
        <v>1188</v>
      </c>
      <c r="G3" s="16" t="s">
        <v>102</v>
      </c>
      <c r="H3" s="16" t="s">
        <v>1189</v>
      </c>
      <c r="I3" s="15" t="s">
        <v>78</v>
      </c>
      <c r="J3" s="15" t="s">
        <v>99</v>
      </c>
      <c r="K3" s="17"/>
      <c r="L3" s="18" t="s">
        <v>52</v>
      </c>
      <c r="M3" s="17"/>
      <c r="N3" s="19"/>
      <c r="O3" s="17"/>
    </row>
    <row r="4" spans="1:15" x14ac:dyDescent="0.3">
      <c r="A4" s="15" t="s">
        <v>1190</v>
      </c>
      <c r="B4" s="16" t="s">
        <v>1095</v>
      </c>
      <c r="C4" s="16" t="s">
        <v>1186</v>
      </c>
      <c r="D4" s="16" t="s">
        <v>1191</v>
      </c>
      <c r="E4" s="16" t="s">
        <v>1192</v>
      </c>
      <c r="F4" s="16" t="s">
        <v>1193</v>
      </c>
      <c r="G4" s="16" t="s">
        <v>102</v>
      </c>
      <c r="H4" s="16" t="s">
        <v>1194</v>
      </c>
      <c r="I4" s="15" t="s">
        <v>78</v>
      </c>
      <c r="J4" s="15" t="s">
        <v>99</v>
      </c>
      <c r="K4" s="17"/>
      <c r="L4" s="18" t="s">
        <v>52</v>
      </c>
      <c r="M4" s="17"/>
      <c r="N4" s="19"/>
      <c r="O4" s="17"/>
    </row>
    <row r="5" spans="1:15" x14ac:dyDescent="0.3">
      <c r="A5" s="15" t="s">
        <v>1195</v>
      </c>
      <c r="B5" s="16" t="s">
        <v>1095</v>
      </c>
      <c r="C5" s="16" t="s">
        <v>1196</v>
      </c>
      <c r="D5" s="16" t="s">
        <v>1197</v>
      </c>
      <c r="E5" s="16" t="s">
        <v>1198</v>
      </c>
      <c r="F5" s="16" t="s">
        <v>1199</v>
      </c>
      <c r="G5" s="16" t="s">
        <v>102</v>
      </c>
      <c r="H5" s="16" t="s">
        <v>1200</v>
      </c>
      <c r="I5" s="15" t="s">
        <v>78</v>
      </c>
      <c r="J5" s="15" t="s">
        <v>99</v>
      </c>
      <c r="K5" s="17"/>
      <c r="L5" s="18" t="s">
        <v>52</v>
      </c>
      <c r="M5" s="17"/>
      <c r="N5" s="19"/>
      <c r="O5" s="17"/>
    </row>
    <row r="6" spans="1:15" x14ac:dyDescent="0.3">
      <c r="A6" s="15" t="s">
        <v>1201</v>
      </c>
      <c r="B6" s="16" t="s">
        <v>1095</v>
      </c>
      <c r="C6" s="16" t="s">
        <v>1196</v>
      </c>
      <c r="D6" s="16" t="s">
        <v>1202</v>
      </c>
      <c r="E6" s="16" t="s">
        <v>1198</v>
      </c>
      <c r="F6" s="16" t="s">
        <v>1203</v>
      </c>
      <c r="G6" s="16" t="s">
        <v>102</v>
      </c>
      <c r="H6" s="16" t="s">
        <v>1204</v>
      </c>
      <c r="I6" s="15" t="s">
        <v>78</v>
      </c>
      <c r="J6" s="15" t="s">
        <v>99</v>
      </c>
      <c r="K6" s="17"/>
      <c r="L6" s="18" t="s">
        <v>52</v>
      </c>
      <c r="M6" s="17"/>
      <c r="N6" s="19"/>
      <c r="O6" s="17"/>
    </row>
    <row r="7" spans="1:15" ht="26.4" x14ac:dyDescent="0.3">
      <c r="A7" s="15" t="s">
        <v>1205</v>
      </c>
      <c r="B7" s="16" t="s">
        <v>1095</v>
      </c>
      <c r="C7" s="16" t="s">
        <v>1196</v>
      </c>
      <c r="D7" s="16" t="s">
        <v>1206</v>
      </c>
      <c r="E7" s="16" t="s">
        <v>102</v>
      </c>
      <c r="F7" s="16" t="s">
        <v>1207</v>
      </c>
      <c r="G7" s="16" t="s">
        <v>102</v>
      </c>
      <c r="H7" s="16" t="s">
        <v>1208</v>
      </c>
      <c r="I7" s="15" t="s">
        <v>78</v>
      </c>
      <c r="J7" s="15" t="s">
        <v>99</v>
      </c>
      <c r="K7" s="17"/>
      <c r="L7" s="18" t="s">
        <v>52</v>
      </c>
      <c r="M7" s="17"/>
      <c r="N7" s="19"/>
      <c r="O7" s="17"/>
    </row>
    <row r="8" spans="1:15" ht="26.4" x14ac:dyDescent="0.3">
      <c r="A8" s="15" t="s">
        <v>1209</v>
      </c>
      <c r="B8" s="16" t="s">
        <v>1095</v>
      </c>
      <c r="C8" s="16" t="s">
        <v>1196</v>
      </c>
      <c r="D8" s="16" t="s">
        <v>1210</v>
      </c>
      <c r="E8" s="16" t="s">
        <v>102</v>
      </c>
      <c r="F8" s="16" t="s">
        <v>1211</v>
      </c>
      <c r="G8" s="16" t="s">
        <v>102</v>
      </c>
      <c r="H8" s="16" t="s">
        <v>1212</v>
      </c>
      <c r="I8" s="15" t="s">
        <v>78</v>
      </c>
      <c r="J8" s="15" t="s">
        <v>99</v>
      </c>
      <c r="K8" s="17"/>
      <c r="L8" s="18" t="s">
        <v>52</v>
      </c>
      <c r="M8" s="17"/>
      <c r="N8" s="19"/>
      <c r="O8" s="17"/>
    </row>
    <row r="9" spans="1:15" x14ac:dyDescent="0.3">
      <c r="A9" s="15" t="s">
        <v>1213</v>
      </c>
      <c r="B9" s="16" t="s">
        <v>1095</v>
      </c>
      <c r="C9" s="16" t="s">
        <v>1196</v>
      </c>
      <c r="D9" s="16" t="s">
        <v>1214</v>
      </c>
      <c r="E9" s="16" t="s">
        <v>102</v>
      </c>
      <c r="F9" s="16" t="s">
        <v>1215</v>
      </c>
      <c r="G9" s="16" t="s">
        <v>102</v>
      </c>
      <c r="H9" s="16" t="s">
        <v>1216</v>
      </c>
      <c r="I9" s="15" t="s">
        <v>78</v>
      </c>
      <c r="J9" s="15" t="s">
        <v>99</v>
      </c>
      <c r="K9" s="17"/>
      <c r="L9" s="18" t="s">
        <v>52</v>
      </c>
      <c r="M9" s="17"/>
      <c r="N9" s="19"/>
      <c r="O9" s="17"/>
    </row>
    <row r="10" spans="1:15" ht="26.4" x14ac:dyDescent="0.3">
      <c r="A10" s="15" t="s">
        <v>1217</v>
      </c>
      <c r="B10" s="16" t="s">
        <v>1095</v>
      </c>
      <c r="C10" s="16" t="s">
        <v>1218</v>
      </c>
      <c r="D10" s="16" t="s">
        <v>1219</v>
      </c>
      <c r="E10" s="16" t="s">
        <v>1220</v>
      </c>
      <c r="F10" s="16" t="s">
        <v>1221</v>
      </c>
      <c r="G10" s="16" t="s">
        <v>102</v>
      </c>
      <c r="H10" s="16" t="s">
        <v>1222</v>
      </c>
      <c r="I10" s="15" t="s">
        <v>78</v>
      </c>
      <c r="J10" s="15" t="s">
        <v>99</v>
      </c>
      <c r="K10" s="17"/>
      <c r="L10" s="18" t="s">
        <v>52</v>
      </c>
      <c r="M10" s="17"/>
      <c r="N10" s="19"/>
      <c r="O10" s="17"/>
    </row>
    <row r="11" spans="1:15" ht="26.4" x14ac:dyDescent="0.3">
      <c r="A11" s="15" t="s">
        <v>1223</v>
      </c>
      <c r="B11" s="16" t="s">
        <v>1095</v>
      </c>
      <c r="C11" s="16" t="s">
        <v>1218</v>
      </c>
      <c r="D11" s="16" t="s">
        <v>1224</v>
      </c>
      <c r="E11" s="16" t="s">
        <v>1225</v>
      </c>
      <c r="F11" s="16" t="s">
        <v>1226</v>
      </c>
      <c r="G11" s="16" t="s">
        <v>102</v>
      </c>
      <c r="H11" s="16" t="s">
        <v>1227</v>
      </c>
      <c r="I11" s="15" t="s">
        <v>106</v>
      </c>
      <c r="J11" s="15" t="s">
        <v>99</v>
      </c>
      <c r="K11" s="17"/>
      <c r="L11" s="18" t="s">
        <v>52</v>
      </c>
      <c r="M11" s="17"/>
      <c r="N11" s="19"/>
      <c r="O11" s="17"/>
    </row>
    <row r="12" spans="1:15" x14ac:dyDescent="0.3">
      <c r="A12" s="15" t="s">
        <v>1228</v>
      </c>
      <c r="B12" s="16" t="s">
        <v>1095</v>
      </c>
      <c r="C12" s="16" t="s">
        <v>1229</v>
      </c>
      <c r="D12" s="16" t="s">
        <v>1230</v>
      </c>
      <c r="E12" s="16" t="s">
        <v>1231</v>
      </c>
      <c r="F12" s="16" t="s">
        <v>1232</v>
      </c>
      <c r="G12" s="16" t="s">
        <v>102</v>
      </c>
      <c r="H12" s="16" t="s">
        <v>1233</v>
      </c>
      <c r="I12" s="15" t="s">
        <v>106</v>
      </c>
      <c r="J12" s="15" t="s">
        <v>79</v>
      </c>
      <c r="K12" s="17"/>
      <c r="L12" s="18" t="s">
        <v>52</v>
      </c>
      <c r="M12" s="17"/>
      <c r="N12" s="19"/>
      <c r="O12" s="17"/>
    </row>
    <row r="13" spans="1:15" ht="52.8" x14ac:dyDescent="0.3">
      <c r="A13" s="15" t="s">
        <v>1234</v>
      </c>
      <c r="B13" s="16" t="s">
        <v>1235</v>
      </c>
      <c r="C13" s="16" t="s">
        <v>1236</v>
      </c>
      <c r="D13" s="16" t="s">
        <v>1237</v>
      </c>
      <c r="E13" s="16" t="s">
        <v>102</v>
      </c>
      <c r="F13" s="16" t="s">
        <v>1238</v>
      </c>
      <c r="G13" s="16" t="s">
        <v>102</v>
      </c>
      <c r="H13" s="16" t="s">
        <v>1239</v>
      </c>
      <c r="I13" s="15" t="s">
        <v>106</v>
      </c>
      <c r="J13" s="15" t="s">
        <v>99</v>
      </c>
      <c r="K13" s="17"/>
      <c r="L13" s="18" t="s">
        <v>52</v>
      </c>
      <c r="M13" s="17"/>
      <c r="N13" s="19"/>
      <c r="O13" s="17"/>
    </row>
    <row r="14" spans="1:15" ht="26.4" x14ac:dyDescent="0.3">
      <c r="A14" s="15" t="s">
        <v>1240</v>
      </c>
      <c r="B14" s="16" t="s">
        <v>1235</v>
      </c>
      <c r="C14" s="16" t="s">
        <v>1236</v>
      </c>
      <c r="D14" s="16" t="s">
        <v>1241</v>
      </c>
      <c r="E14" s="16" t="s">
        <v>102</v>
      </c>
      <c r="F14" s="16" t="s">
        <v>1242</v>
      </c>
      <c r="G14" s="16" t="s">
        <v>102</v>
      </c>
      <c r="H14" s="16" t="s">
        <v>1243</v>
      </c>
      <c r="I14" s="15" t="s">
        <v>126</v>
      </c>
      <c r="J14" s="15" t="s">
        <v>112</v>
      </c>
      <c r="K14" s="17"/>
      <c r="L14" s="18" t="s">
        <v>52</v>
      </c>
      <c r="M14" s="17"/>
      <c r="N14" s="19"/>
      <c r="O14" s="17"/>
    </row>
  </sheetData>
  <autoFilter ref="A1:O14" xr:uid="{00000000-0009-0000-0000-000009000000}"/>
  <conditionalFormatting sqref="I2:I214">
    <cfRule type="expression" dxfId="4" priority="5">
      <formula>$I2="Cao"</formula>
    </cfRule>
  </conditionalFormatting>
  <conditionalFormatting sqref="L2:L214">
    <cfRule type="expression" dxfId="3" priority="1">
      <formula>$L2="Pass"</formula>
    </cfRule>
    <cfRule type="expression" dxfId="2" priority="2">
      <formula>$L2="Fail"</formula>
    </cfRule>
    <cfRule type="expression" dxfId="1" priority="3">
      <formula>$L2="Blocked"</formula>
    </cfRule>
    <cfRule type="expression" dxfId="0" priority="4">
      <formula>$L2="Not Run"</formula>
    </cfRule>
  </conditionalFormatting>
  <dataValidations count="1">
    <dataValidation type="list" errorTitle="Trạng thái không hợp lệ" error="Chọn: Not Run / Pass / Fail / Blocked" sqref="L2:L214" xr:uid="{00000000-0002-0000-0900-000000000000}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Hướng dẫn</vt:lpstr>
      <vt:lpstr>Tổng hợp</vt:lpstr>
      <vt:lpstr>Chung - Xác thực</vt:lpstr>
      <vt:lpstr>Chung - Thông báo</vt:lpstr>
      <vt:lpstr>Chung - Phản hồi</vt:lpstr>
      <vt:lpstr>Nhân viên</vt:lpstr>
      <vt:lpstr>Trưởng cửa hàng</vt:lpstr>
      <vt:lpstr>Quản lý</vt:lpstr>
      <vt:lpstr>Admin</vt:lpstr>
      <vt:lpstr>Phân quyền &amp; Bảo mật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Hoan</cp:lastModifiedBy>
  <dcterms:created xsi:type="dcterms:W3CDTF">2026-10-22T02:44:48Z</dcterms:created>
  <dcterms:modified xsi:type="dcterms:W3CDTF">2026-10-22T03:41:35Z</dcterms:modified>
</cp:coreProperties>
</file>